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G --&gt; ML" sheetId="1" r:id="rId4"/>
    <sheet state="visible" name="ML --&gt; MCG" sheetId="2" r:id="rId5"/>
    <sheet state="hidden" name="Hoja 2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tc={317d55d7-3d1d-4ec6-b572-d2fcceb96959}</author>
  </authors>
  <commentList>
    <comment authorId="0" xr:uid="{317d55d7-3d1d-4ec6-b572-d2fcceb96959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0.03
</t>
      </text>
    </comment>
  </commentList>
</comments>
</file>

<file path=xl/sharedStrings.xml><?xml version="1.0" encoding="utf-8"?>
<sst xmlns="http://schemas.openxmlformats.org/spreadsheetml/2006/main" count="399" uniqueCount="98">
  <si>
    <t>NOMBRE</t>
  </si>
  <si>
    <t>PERFUSION ESTANDAR</t>
  </si>
  <si>
    <t>DOSIS RECOMENDADA</t>
  </si>
  <si>
    <t>DOSIS DESEADA</t>
  </si>
  <si>
    <t xml:space="preserve"> ML/H</t>
  </si>
  <si>
    <t>TIEMPO BOMBA</t>
  </si>
  <si>
    <t>Medicación</t>
  </si>
  <si>
    <t>Suero</t>
  </si>
  <si>
    <t>Dosis</t>
  </si>
  <si>
    <t>medida masa</t>
  </si>
  <si>
    <t>Diluido en (ml)</t>
  </si>
  <si>
    <t>Unidad</t>
  </si>
  <si>
    <t>controlunidadespecial@gmail.com</t>
  </si>
  <si>
    <t>ADRENALINA (I)</t>
  </si>
  <si>
    <t>Dx5%</t>
  </si>
  <si>
    <t>mg</t>
  </si>
  <si>
    <t>0.05-2 mcg/kg/min</t>
  </si>
  <si>
    <t>mcg/kg/min</t>
  </si>
  <si>
    <t>controlue</t>
  </si>
  <si>
    <t>ADRENALINA (II)</t>
  </si>
  <si>
    <t>ADRENALINA (III)</t>
  </si>
  <si>
    <t>ALEUDRINA</t>
  </si>
  <si>
    <t>1-20 mcg/min</t>
  </si>
  <si>
    <t>mcg/min</t>
  </si>
  <si>
    <t>AMIODARONA</t>
  </si>
  <si>
    <t>10 mcg/kg/min</t>
  </si>
  <si>
    <t>CISATRACURIO</t>
  </si>
  <si>
    <t>Puro</t>
  </si>
  <si>
    <t>0.06-0.18 mg/kg/h</t>
  </si>
  <si>
    <t>mg/kg/h</t>
  </si>
  <si>
    <t>CISATRACURIO (II)</t>
  </si>
  <si>
    <t>CLONIDINA</t>
  </si>
  <si>
    <t>1-3 mcg/kg/h</t>
  </si>
  <si>
    <t>mcg/kg/h</t>
  </si>
  <si>
    <t>DEXMEDETOMIDINA (I)</t>
  </si>
  <si>
    <t>SSF</t>
  </si>
  <si>
    <t>0.7-1.4 mcg/kg/h</t>
  </si>
  <si>
    <t>INTRODUCIR</t>
  </si>
  <si>
    <t>DEXMEDETOMIDINA (II)</t>
  </si>
  <si>
    <t>PESO PACIENTE</t>
  </si>
  <si>
    <t>DOPAMINA</t>
  </si>
  <si>
    <t>1-50 mcg/kg/min</t>
  </si>
  <si>
    <t>(KG)</t>
  </si>
  <si>
    <t>DOBUTAMINA</t>
  </si>
  <si>
    <t>2.5-40 mcg/kg/min</t>
  </si>
  <si>
    <t>FENTANILO</t>
  </si>
  <si>
    <t>0.5-10 mcg/kg/h</t>
  </si>
  <si>
    <t>FLUMAZENILO</t>
  </si>
  <si>
    <t>0.1-0.4 mg/h</t>
  </si>
  <si>
    <t>mg/h</t>
  </si>
  <si>
    <t>FUROSEMIDA</t>
  </si>
  <si>
    <t>5-30 mg/h</t>
  </si>
  <si>
    <t>LABETALOL</t>
  </si>
  <si>
    <t>10-100 mg/h</t>
  </si>
  <si>
    <t>LEVOSIMENDAN</t>
  </si>
  <si>
    <t>0.05-0.2 mcg/kg/min</t>
  </si>
  <si>
    <t>MAGNESIO (SULFATO)</t>
  </si>
  <si>
    <t>2-4 mg/min</t>
  </si>
  <si>
    <t>mg/min</t>
  </si>
  <si>
    <t>MIDAZOLAM</t>
  </si>
  <si>
    <t>0,02-0,2 mg/kg/h</t>
  </si>
  <si>
    <t>MILRINONA</t>
  </si>
  <si>
    <t>0.375-0.75 mcg/kg/min</t>
  </si>
  <si>
    <t>MORFINA</t>
  </si>
  <si>
    <t>2-20 mg/h</t>
  </si>
  <si>
    <t>NALOXONA</t>
  </si>
  <si>
    <t>5-15 mcg/kg/h</t>
  </si>
  <si>
    <t>NIMODIPINO</t>
  </si>
  <si>
    <t>0.5 mcg/kg/min</t>
  </si>
  <si>
    <t>NITROGLICERINA</t>
  </si>
  <si>
    <t>5-200 mcg/min</t>
  </si>
  <si>
    <t>NORADRENALINA (I)</t>
  </si>
  <si>
    <t>0.01-3 mcg/kg/min</t>
  </si>
  <si>
    <t>NORADRENALINA (II)</t>
  </si>
  <si>
    <t>NORADRENALINA (III)</t>
  </si>
  <si>
    <t>PROPOFOL</t>
  </si>
  <si>
    <t>0.5-5 mg/kg/h</t>
  </si>
  <si>
    <t>ROCURONIO</t>
  </si>
  <si>
    <t>0,3-0,6 mg/kg/h</t>
  </si>
  <si>
    <t>SOMATOSTATINA</t>
  </si>
  <si>
    <t>3.5 mcg/kg/h</t>
  </si>
  <si>
    <t>URAPIDILO</t>
  </si>
  <si>
    <t>2.5-7 mcg/kg/min</t>
  </si>
  <si>
    <t>VALPROICO</t>
  </si>
  <si>
    <t>1 mg/kg/h</t>
  </si>
  <si>
    <t>DOSIS</t>
  </si>
  <si>
    <t>DESEADA</t>
  </si>
  <si>
    <t>DECIMALES (.)</t>
  </si>
  <si>
    <t>0.12 mg/kg/h</t>
  </si>
  <si>
    <t>0.5-1.5 mcg/kg/h</t>
  </si>
  <si>
    <t>ML/H</t>
  </si>
  <si>
    <t>UNIDAD/ML</t>
  </si>
  <si>
    <t>KG PACIENTE</t>
  </si>
  <si>
    <t>Unidad masa</t>
  </si>
  <si>
    <t>mcg/ml</t>
  </si>
  <si>
    <t>---</t>
  </si>
  <si>
    <t>mg/ml</t>
  </si>
  <si>
    <t>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</si>
</sst>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sz val="12.0"/>
    </font>
    <font/>
    <font>
      <b/>
    </font>
    <font>
      <b/>
      <sz val="12.0"/>
    </font>
    <font>
      <sz val="36.0"/>
      <name val="Arial"/>
    </font>
    <font>
      <sz val="12.0"/>
      <color rgb="FF000000"/>
      <name val="Arial"/>
    </font>
    <font>
      <sz val="36.0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/>
    </xf>
    <xf borderId="0" fillId="3" fontId="1" numFmtId="0" xfId="0" applyFont="1"/>
    <xf borderId="0" fillId="4" fontId="3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5" fontId="4" numFmtId="2" xfId="0" applyAlignment="1" applyFill="1" applyFont="1" applyNumberFormat="1">
      <alignment horizontal="center" readingOrder="0"/>
    </xf>
    <xf borderId="0" fillId="6" fontId="4" numFmtId="0" xfId="0" applyAlignment="1" applyFill="1" applyFont="1">
      <alignment horizontal="center"/>
    </xf>
    <xf borderId="0" fillId="3" fontId="1" numFmtId="46" xfId="0" applyFont="1" applyNumberFormat="1"/>
    <xf borderId="1" fillId="0" fontId="5" numFmtId="0" xfId="0" applyAlignment="1" applyBorder="1" applyFont="1">
      <alignment horizontal="center" readingOrder="0"/>
    </xf>
    <xf borderId="2" fillId="0" fontId="2" numFmtId="0" xfId="0" applyBorder="1" applyFont="1"/>
    <xf borderId="0" fillId="3" fontId="1" numFmtId="0" xfId="0" applyAlignment="1" applyFont="1">
      <alignment horizontal="center" readingOrder="0"/>
    </xf>
    <xf borderId="3" fillId="0" fontId="2" numFmtId="0" xfId="0" applyBorder="1" applyFont="1"/>
    <xf borderId="0" fillId="3" fontId="6" numFmtId="0" xfId="0" applyAlignment="1" applyFont="1">
      <alignment horizontal="center" readingOrder="0"/>
    </xf>
    <xf borderId="0" fillId="5" fontId="1" numFmtId="2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6" xfId="0" applyFont="1" applyNumberForma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5" fontId="1" numFmtId="0" xfId="0" applyAlignment="1" applyFont="1">
      <alignment horizontal="center" readingOrder="0"/>
    </xf>
    <xf borderId="0" fillId="6" fontId="4" numFmtId="2" xfId="0" applyAlignment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238125</xdr:colOff>
      <xdr:row>13</xdr:row>
      <xdr:rowOff>66675</xdr:rowOff>
    </xdr:from>
    <xdr:ext cx="533400" cy="714375"/>
    <xdr:sp>
      <xdr:nvSpPr>
        <xdr:cNvPr id="3" name="Shape 3"/>
        <xdr:cNvSpPr/>
      </xdr:nvSpPr>
      <xdr:spPr>
        <a:xfrm>
          <a:off x="3619500" y="1581150"/>
          <a:ext cx="1866900" cy="2495400"/>
        </a:xfrm>
        <a:prstGeom prst="downArrow">
          <a:avLst>
            <a:gd fmla="val 50000" name="adj1"/>
            <a:gd fmla="val 50000" name="adj2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409575</xdr:colOff>
      <xdr:row>34</xdr:row>
      <xdr:rowOff>9525</xdr:rowOff>
    </xdr:from>
    <xdr:ext cx="409575" cy="561975"/>
    <xdr:sp>
      <xdr:nvSpPr>
        <xdr:cNvPr id="4" name="Shape 4"/>
        <xdr:cNvSpPr/>
      </xdr:nvSpPr>
      <xdr:spPr>
        <a:xfrm>
          <a:off x="4149500" y="2357225"/>
          <a:ext cx="1578000" cy="2152800"/>
        </a:xfrm>
        <a:prstGeom prst="upArrow">
          <a:avLst>
            <a:gd fmla="val 50000" name="adj1"/>
            <a:gd fmla="val 50000" name="adj2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238125</xdr:colOff>
      <xdr:row>13</xdr:row>
      <xdr:rowOff>19050</xdr:rowOff>
    </xdr:from>
    <xdr:ext cx="533400" cy="714375"/>
    <xdr:sp>
      <xdr:nvSpPr>
        <xdr:cNvPr id="3" name="Shape 3"/>
        <xdr:cNvSpPr/>
      </xdr:nvSpPr>
      <xdr:spPr>
        <a:xfrm>
          <a:off x="3619500" y="1581150"/>
          <a:ext cx="1866900" cy="2495400"/>
        </a:xfrm>
        <a:prstGeom prst="downArrow">
          <a:avLst>
            <a:gd fmla="val 50000" name="adj1"/>
            <a:gd fmla="val 50000" name="adj2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323850</xdr:colOff>
      <xdr:row>33</xdr:row>
      <xdr:rowOff>219075</xdr:rowOff>
    </xdr:from>
    <xdr:ext cx="409575" cy="561975"/>
    <xdr:sp>
      <xdr:nvSpPr>
        <xdr:cNvPr id="4" name="Shape 4"/>
        <xdr:cNvSpPr/>
      </xdr:nvSpPr>
      <xdr:spPr>
        <a:xfrm>
          <a:off x="4149500" y="2357225"/>
          <a:ext cx="1578000" cy="2152800"/>
        </a:xfrm>
        <a:prstGeom prst="upArrow">
          <a:avLst>
            <a:gd fmla="val 50000" name="adj1"/>
            <a:gd fmla="val 50000" name="adj2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rancisco Sanchez" id="{31cc7ae6-5a87-472e-b7f4-9c9a92aab898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" dT="2026-03-12T12:32:55.00" personId="{31cc7ae6-5a87-472e-b7f4-9c9a92aab898}" id="{317d55d7-3d1d-4ec6-b572-d2fcceb96959}" done="0">
    <x18tc:text xml:space="preserve">0.03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3" width="11.38"/>
    <col customWidth="1" min="4" max="4" width="13.25"/>
    <col customWidth="1" min="5" max="5" width="13.63"/>
    <col customWidth="1" min="6" max="6" width="23.0"/>
    <col customWidth="1" min="7" max="7" width="16.88"/>
    <col customWidth="1" min="8" max="8" width="11.0"/>
    <col customWidth="1" min="10" max="10" width="16.0"/>
    <col customWidth="1" min="12" max="12" width="14.0"/>
    <col customWidth="1" min="13" max="13" width="27.88"/>
  </cols>
  <sheetData>
    <row r="1">
      <c r="A1" s="1" t="s">
        <v>0</v>
      </c>
      <c r="B1" s="1"/>
      <c r="C1" s="1" t="s">
        <v>1</v>
      </c>
      <c r="F1" s="1" t="s">
        <v>2</v>
      </c>
      <c r="G1" s="1" t="s">
        <v>3</v>
      </c>
      <c r="H1" s="1"/>
      <c r="I1" s="2" t="s">
        <v>4</v>
      </c>
      <c r="J1" s="2" t="s">
        <v>5</v>
      </c>
      <c r="K1" s="3"/>
      <c r="L1" s="4"/>
    </row>
    <row r="2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/>
      <c r="G2" s="6"/>
      <c r="H2" s="5" t="s">
        <v>11</v>
      </c>
      <c r="I2" s="7"/>
      <c r="J2" s="7"/>
      <c r="K2" s="3"/>
      <c r="M2" s="8" t="s">
        <v>12</v>
      </c>
      <c r="N2" s="9"/>
    </row>
    <row r="3">
      <c r="A3" s="5" t="s">
        <v>13</v>
      </c>
      <c r="B3" s="5" t="s">
        <v>14</v>
      </c>
      <c r="C3" s="5">
        <v>10.0</v>
      </c>
      <c r="D3" s="5" t="s">
        <v>15</v>
      </c>
      <c r="E3" s="5">
        <v>250.0</v>
      </c>
      <c r="F3" s="5" t="s">
        <v>16</v>
      </c>
      <c r="G3" s="10">
        <v>0.05</v>
      </c>
      <c r="H3" s="5" t="s">
        <v>17</v>
      </c>
      <c r="I3" s="11">
        <f>(('Hoja 2'!C3*G3)/'Hoja 2'!A3)*60</f>
        <v>6.75</v>
      </c>
      <c r="J3" s="12">
        <f t="shared" ref="J3:J34" si="1">(E3/I3)/24</f>
        <v>1.543209877</v>
      </c>
      <c r="K3" s="3"/>
      <c r="M3" s="8" t="s">
        <v>18</v>
      </c>
    </row>
    <row r="4">
      <c r="A4" s="5" t="s">
        <v>19</v>
      </c>
      <c r="B4" s="5" t="s">
        <v>14</v>
      </c>
      <c r="C4" s="5">
        <v>10.0</v>
      </c>
      <c r="D4" s="5" t="s">
        <v>15</v>
      </c>
      <c r="E4" s="5">
        <v>50.0</v>
      </c>
      <c r="F4" s="5" t="s">
        <v>16</v>
      </c>
      <c r="G4" s="10">
        <v>2.0</v>
      </c>
      <c r="H4" s="5" t="s">
        <v>17</v>
      </c>
      <c r="I4" s="11">
        <f>(('Hoja 2'!C4*G4)/'Hoja 2'!A4)*60</f>
        <v>54</v>
      </c>
      <c r="J4" s="12">
        <f t="shared" si="1"/>
        <v>0.03858024691</v>
      </c>
      <c r="K4" s="3"/>
    </row>
    <row r="5">
      <c r="A5" s="5" t="s">
        <v>20</v>
      </c>
      <c r="B5" s="5" t="s">
        <v>14</v>
      </c>
      <c r="C5" s="5">
        <v>20.0</v>
      </c>
      <c r="D5" s="5" t="s">
        <v>15</v>
      </c>
      <c r="E5" s="5">
        <v>250.0</v>
      </c>
      <c r="F5" s="5" t="s">
        <v>16</v>
      </c>
      <c r="G5" s="10"/>
      <c r="H5" s="5" t="s">
        <v>17</v>
      </c>
      <c r="I5" s="11">
        <f>(('Hoja 2'!C5*G5)/'Hoja 2'!A5)*60</f>
        <v>0</v>
      </c>
      <c r="J5" s="12" t="str">
        <f t="shared" si="1"/>
        <v>#DIV/0!</v>
      </c>
      <c r="K5" s="3"/>
    </row>
    <row r="6">
      <c r="A6" s="5" t="s">
        <v>21</v>
      </c>
      <c r="B6" s="5" t="s">
        <v>14</v>
      </c>
      <c r="C6" s="5">
        <v>2.0</v>
      </c>
      <c r="D6" s="5" t="s">
        <v>15</v>
      </c>
      <c r="E6" s="5">
        <v>500.0</v>
      </c>
      <c r="F6" s="5" t="s">
        <v>22</v>
      </c>
      <c r="G6" s="10">
        <v>1.0</v>
      </c>
      <c r="H6" s="5" t="s">
        <v>23</v>
      </c>
      <c r="I6" s="11">
        <f>((G6)/'Hoja 2'!A6)*60</f>
        <v>15</v>
      </c>
      <c r="J6" s="12">
        <f t="shared" si="1"/>
        <v>1.388888889</v>
      </c>
      <c r="K6" s="3"/>
    </row>
    <row r="7">
      <c r="A7" s="5" t="s">
        <v>24</v>
      </c>
      <c r="B7" s="5" t="s">
        <v>14</v>
      </c>
      <c r="C7" s="5">
        <v>900.0</v>
      </c>
      <c r="D7" s="5" t="s">
        <v>15</v>
      </c>
      <c r="E7" s="5">
        <v>250.0</v>
      </c>
      <c r="F7" s="5" t="s">
        <v>25</v>
      </c>
      <c r="G7" s="10">
        <v>8.0</v>
      </c>
      <c r="H7" s="5" t="s">
        <v>17</v>
      </c>
      <c r="I7" s="11">
        <f>(('Hoja 2'!C7*G7)/'Hoja 2'!A7)*60</f>
        <v>12</v>
      </c>
      <c r="J7" s="12">
        <f t="shared" si="1"/>
        <v>0.8680555556</v>
      </c>
      <c r="K7" s="3"/>
    </row>
    <row r="8">
      <c r="A8" s="5" t="s">
        <v>26</v>
      </c>
      <c r="B8" s="5" t="s">
        <v>27</v>
      </c>
      <c r="C8" s="5">
        <v>40.0</v>
      </c>
      <c r="D8" s="5" t="s">
        <v>15</v>
      </c>
      <c r="E8" s="5">
        <v>50.0</v>
      </c>
      <c r="F8" s="5" t="s">
        <v>28</v>
      </c>
      <c r="G8" s="10">
        <v>0.5</v>
      </c>
      <c r="H8" s="5" t="s">
        <v>29</v>
      </c>
      <c r="I8" s="11">
        <f>(('Hoja 2'!C8*G8)/'Hoja 2'!A8)</f>
        <v>56.25</v>
      </c>
      <c r="J8" s="12">
        <f t="shared" si="1"/>
        <v>0.03703703704</v>
      </c>
      <c r="K8" s="3"/>
    </row>
    <row r="9">
      <c r="A9" s="5" t="s">
        <v>30</v>
      </c>
      <c r="B9" s="5" t="s">
        <v>27</v>
      </c>
      <c r="C9" s="5">
        <v>150.0</v>
      </c>
      <c r="D9" s="5" t="s">
        <v>15</v>
      </c>
      <c r="E9" s="5">
        <v>50.0</v>
      </c>
      <c r="F9" s="5" t="s">
        <v>28</v>
      </c>
      <c r="G9" s="10">
        <v>0.5</v>
      </c>
      <c r="H9" s="5" t="s">
        <v>29</v>
      </c>
      <c r="I9" s="11">
        <f>(('Hoja 2'!C9*G9)/'Hoja 2'!A9)</f>
        <v>15</v>
      </c>
      <c r="J9" s="12">
        <f t="shared" si="1"/>
        <v>0.1388888889</v>
      </c>
      <c r="K9" s="3"/>
    </row>
    <row r="10">
      <c r="A10" s="5" t="s">
        <v>31</v>
      </c>
      <c r="B10" s="5" t="s">
        <v>14</v>
      </c>
      <c r="C10" s="5">
        <v>1.5</v>
      </c>
      <c r="D10" s="5" t="s">
        <v>15</v>
      </c>
      <c r="E10" s="5">
        <v>250.0</v>
      </c>
      <c r="F10" s="5" t="s">
        <v>32</v>
      </c>
      <c r="G10" s="10"/>
      <c r="H10" s="5" t="s">
        <v>33</v>
      </c>
      <c r="I10" s="11">
        <f>(('Hoja 2'!C10*G10)/'Hoja 2'!A10)</f>
        <v>0</v>
      </c>
      <c r="J10" s="12" t="str">
        <f t="shared" si="1"/>
        <v>#DIV/0!</v>
      </c>
      <c r="K10" s="3"/>
    </row>
    <row r="11">
      <c r="A11" s="5" t="s">
        <v>34</v>
      </c>
      <c r="B11" s="5" t="s">
        <v>35</v>
      </c>
      <c r="C11" s="5">
        <v>0.4</v>
      </c>
      <c r="D11" s="5" t="s">
        <v>15</v>
      </c>
      <c r="E11" s="5">
        <v>100.0</v>
      </c>
      <c r="F11" s="5" t="s">
        <v>36</v>
      </c>
      <c r="G11" s="10">
        <v>0.5</v>
      </c>
      <c r="H11" s="5" t="s">
        <v>33</v>
      </c>
      <c r="I11" s="11">
        <f>(('Hoja 2'!C11*G11)/'Hoja 2'!A11)</f>
        <v>11.25</v>
      </c>
      <c r="J11" s="12">
        <f t="shared" si="1"/>
        <v>0.3703703704</v>
      </c>
      <c r="K11" s="3"/>
      <c r="L11" s="4" t="s">
        <v>37</v>
      </c>
    </row>
    <row r="12">
      <c r="A12" s="5" t="s">
        <v>38</v>
      </c>
      <c r="B12" s="5" t="s">
        <v>35</v>
      </c>
      <c r="C12" s="5">
        <v>1.0</v>
      </c>
      <c r="D12" s="5" t="s">
        <v>15</v>
      </c>
      <c r="E12" s="5">
        <v>250.0</v>
      </c>
      <c r="F12" s="5" t="s">
        <v>36</v>
      </c>
      <c r="G12" s="10">
        <v>0.7</v>
      </c>
      <c r="H12" s="5" t="s">
        <v>33</v>
      </c>
      <c r="I12" s="11">
        <f>(('Hoja 2'!C12*G12)/'Hoja 2'!A12)</f>
        <v>15.75</v>
      </c>
      <c r="J12" s="12">
        <f t="shared" si="1"/>
        <v>0.6613756614</v>
      </c>
      <c r="K12" s="3"/>
      <c r="L12" s="4" t="s">
        <v>39</v>
      </c>
    </row>
    <row r="13">
      <c r="A13" s="5" t="s">
        <v>40</v>
      </c>
      <c r="B13" s="5" t="s">
        <v>14</v>
      </c>
      <c r="C13" s="5">
        <v>400.0</v>
      </c>
      <c r="D13" s="5" t="s">
        <v>15</v>
      </c>
      <c r="E13" s="5">
        <v>250.0</v>
      </c>
      <c r="F13" s="5" t="s">
        <v>41</v>
      </c>
      <c r="G13" s="10">
        <v>7.5</v>
      </c>
      <c r="H13" s="5" t="s">
        <v>17</v>
      </c>
      <c r="I13" s="11">
        <f>(('Hoja 2'!C13*G13)/'Hoja 2'!A13)*60</f>
        <v>25.3125</v>
      </c>
      <c r="J13" s="12">
        <f t="shared" si="1"/>
        <v>0.4115226337</v>
      </c>
      <c r="K13" s="3"/>
      <c r="L13" s="4" t="s">
        <v>42</v>
      </c>
    </row>
    <row r="14">
      <c r="A14" s="5" t="s">
        <v>43</v>
      </c>
      <c r="B14" s="5" t="s">
        <v>14</v>
      </c>
      <c r="C14" s="5">
        <v>250.0</v>
      </c>
      <c r="D14" s="5" t="s">
        <v>15</v>
      </c>
      <c r="E14" s="5">
        <v>250.0</v>
      </c>
      <c r="F14" s="5" t="s">
        <v>44</v>
      </c>
      <c r="G14" s="10">
        <v>7.5</v>
      </c>
      <c r="H14" s="5" t="s">
        <v>17</v>
      </c>
      <c r="I14" s="11">
        <f>(('Hoja 2'!C14*G14)/'Hoja 2'!A14)*60</f>
        <v>40.5</v>
      </c>
      <c r="J14" s="12">
        <f t="shared" si="1"/>
        <v>0.2572016461</v>
      </c>
      <c r="K14" s="3"/>
    </row>
    <row r="15">
      <c r="A15" s="5" t="s">
        <v>45</v>
      </c>
      <c r="B15" s="5" t="s">
        <v>35</v>
      </c>
      <c r="C15" s="5">
        <v>1.5</v>
      </c>
      <c r="D15" s="5" t="s">
        <v>15</v>
      </c>
      <c r="E15" s="5">
        <v>50.0</v>
      </c>
      <c r="F15" s="5" t="s">
        <v>46</v>
      </c>
      <c r="G15" s="10">
        <v>1.0</v>
      </c>
      <c r="H15" s="5" t="s">
        <v>33</v>
      </c>
      <c r="I15" s="11">
        <f>(('Hoja 2'!C15*G15)/'Hoja 2'!A15)</f>
        <v>3</v>
      </c>
      <c r="J15" s="12">
        <f t="shared" si="1"/>
        <v>0.6944444444</v>
      </c>
      <c r="K15" s="3"/>
    </row>
    <row r="16">
      <c r="A16" s="5" t="s">
        <v>47</v>
      </c>
      <c r="B16" s="5" t="s">
        <v>14</v>
      </c>
      <c r="C16" s="5">
        <v>2.5</v>
      </c>
      <c r="D16" s="5" t="s">
        <v>15</v>
      </c>
      <c r="E16" s="5">
        <v>250.0</v>
      </c>
      <c r="F16" s="5" t="s">
        <v>48</v>
      </c>
      <c r="G16" s="10">
        <v>0.2</v>
      </c>
      <c r="H16" s="5" t="s">
        <v>49</v>
      </c>
      <c r="I16" s="11">
        <f>((G16)/'Hoja 2'!A16)</f>
        <v>20</v>
      </c>
      <c r="J16" s="12">
        <f t="shared" si="1"/>
        <v>0.5208333333</v>
      </c>
      <c r="K16" s="3"/>
    </row>
    <row r="17">
      <c r="A17" s="5" t="s">
        <v>50</v>
      </c>
      <c r="B17" s="5" t="s">
        <v>14</v>
      </c>
      <c r="C17" s="5">
        <v>100.0</v>
      </c>
      <c r="D17" s="5" t="s">
        <v>15</v>
      </c>
      <c r="E17" s="5">
        <v>100.0</v>
      </c>
      <c r="F17" s="5" t="s">
        <v>51</v>
      </c>
      <c r="G17" s="10">
        <v>1.0</v>
      </c>
      <c r="H17" s="5" t="s">
        <v>49</v>
      </c>
      <c r="I17" s="11">
        <f>((G17)/'Hoja 2'!A17)</f>
        <v>1</v>
      </c>
      <c r="J17" s="12">
        <f t="shared" si="1"/>
        <v>4.166666667</v>
      </c>
      <c r="K17" s="3"/>
    </row>
    <row r="18">
      <c r="A18" s="5" t="s">
        <v>52</v>
      </c>
      <c r="B18" s="5" t="s">
        <v>14</v>
      </c>
      <c r="C18" s="5">
        <v>200.0</v>
      </c>
      <c r="D18" s="5" t="s">
        <v>15</v>
      </c>
      <c r="E18" s="5">
        <v>250.0</v>
      </c>
      <c r="F18" s="5" t="s">
        <v>53</v>
      </c>
      <c r="G18" s="10">
        <v>20.0</v>
      </c>
      <c r="H18" s="5" t="s">
        <v>49</v>
      </c>
      <c r="I18" s="11">
        <f>((G18)/'Hoja 2'!A18)</f>
        <v>25</v>
      </c>
      <c r="J18" s="12">
        <f t="shared" si="1"/>
        <v>0.4166666667</v>
      </c>
      <c r="K18" s="3"/>
      <c r="L18" s="13">
        <v>90.0</v>
      </c>
    </row>
    <row r="19">
      <c r="A19" s="5" t="s">
        <v>54</v>
      </c>
      <c r="B19" s="5" t="s">
        <v>14</v>
      </c>
      <c r="C19" s="5">
        <v>12.5</v>
      </c>
      <c r="D19" s="5" t="s">
        <v>15</v>
      </c>
      <c r="E19" s="5">
        <v>250.0</v>
      </c>
      <c r="F19" s="5" t="s">
        <v>55</v>
      </c>
      <c r="G19" s="10">
        <v>0.05</v>
      </c>
      <c r="H19" s="5" t="s">
        <v>17</v>
      </c>
      <c r="I19" s="11">
        <f>(('Hoja 2'!C19*G19)/'Hoja 2'!A19)*60</f>
        <v>5.4</v>
      </c>
      <c r="J19" s="12">
        <f t="shared" si="1"/>
        <v>1.929012346</v>
      </c>
      <c r="K19" s="3"/>
      <c r="L19" s="14"/>
    </row>
    <row r="20">
      <c r="A20" s="5" t="s">
        <v>56</v>
      </c>
      <c r="B20" s="15" t="s">
        <v>35</v>
      </c>
      <c r="C20" s="5">
        <v>4500.0</v>
      </c>
      <c r="D20" s="5" t="s">
        <v>15</v>
      </c>
      <c r="E20" s="5">
        <v>250.0</v>
      </c>
      <c r="F20" s="5" t="s">
        <v>57</v>
      </c>
      <c r="G20" s="10">
        <v>2.0</v>
      </c>
      <c r="H20" s="5" t="s">
        <v>58</v>
      </c>
      <c r="I20" s="11">
        <f>((G20)/'Hoja 2'!A20)*60</f>
        <v>6.666666667</v>
      </c>
      <c r="J20" s="12">
        <f t="shared" si="1"/>
        <v>1.5625</v>
      </c>
      <c r="K20" s="3"/>
      <c r="L20" s="14"/>
    </row>
    <row r="21">
      <c r="A21" s="5" t="s">
        <v>59</v>
      </c>
      <c r="B21" s="5" t="s">
        <v>27</v>
      </c>
      <c r="C21" s="5">
        <v>250.0</v>
      </c>
      <c r="D21" s="5" t="s">
        <v>15</v>
      </c>
      <c r="E21" s="5">
        <v>50.0</v>
      </c>
      <c r="F21" s="5" t="s">
        <v>60</v>
      </c>
      <c r="G21" s="10">
        <v>0.05</v>
      </c>
      <c r="H21" s="5" t="s">
        <v>29</v>
      </c>
      <c r="I21" s="11">
        <f>(('Hoja 2'!C21*G21)/'Hoja 2'!A21)</f>
        <v>0.9</v>
      </c>
      <c r="J21" s="12">
        <f t="shared" si="1"/>
        <v>2.314814815</v>
      </c>
      <c r="K21" s="3"/>
      <c r="L21" s="16"/>
    </row>
    <row r="22">
      <c r="A22" s="5" t="s">
        <v>61</v>
      </c>
      <c r="B22" s="17" t="s">
        <v>35</v>
      </c>
      <c r="C22" s="5">
        <v>30.0</v>
      </c>
      <c r="D22" s="5" t="s">
        <v>15</v>
      </c>
      <c r="E22" s="5">
        <v>250.0</v>
      </c>
      <c r="F22" s="5" t="s">
        <v>62</v>
      </c>
      <c r="G22" s="10"/>
      <c r="H22" s="5" t="s">
        <v>17</v>
      </c>
      <c r="I22" s="11">
        <f>(('Hoja 2'!C22*G22)/'Hoja 2'!A22)*60</f>
        <v>0</v>
      </c>
      <c r="J22" s="12" t="str">
        <f t="shared" si="1"/>
        <v>#DIV/0!</v>
      </c>
      <c r="K22" s="3"/>
    </row>
    <row r="23">
      <c r="A23" s="5" t="s">
        <v>63</v>
      </c>
      <c r="B23" s="5" t="s">
        <v>35</v>
      </c>
      <c r="C23" s="5">
        <v>50.0</v>
      </c>
      <c r="D23" s="5" t="s">
        <v>15</v>
      </c>
      <c r="E23" s="5">
        <v>50.0</v>
      </c>
      <c r="F23" s="5" t="s">
        <v>64</v>
      </c>
      <c r="G23" s="10">
        <v>2.0</v>
      </c>
      <c r="H23" s="5" t="s">
        <v>49</v>
      </c>
      <c r="I23" s="11">
        <f>((G23)/'Hoja 2'!A23)</f>
        <v>2</v>
      </c>
      <c r="J23" s="12">
        <f t="shared" si="1"/>
        <v>1.041666667</v>
      </c>
      <c r="K23" s="3"/>
    </row>
    <row r="24">
      <c r="A24" s="5" t="s">
        <v>65</v>
      </c>
      <c r="B24" s="5" t="s">
        <v>35</v>
      </c>
      <c r="C24" s="5">
        <v>4.0</v>
      </c>
      <c r="D24" s="5" t="s">
        <v>15</v>
      </c>
      <c r="E24" s="5">
        <v>250.0</v>
      </c>
      <c r="F24" s="5" t="s">
        <v>66</v>
      </c>
      <c r="G24" s="10">
        <v>5.0</v>
      </c>
      <c r="H24" s="5" t="s">
        <v>33</v>
      </c>
      <c r="I24" s="11">
        <f>(('Hoja 2'!C24*G24)/'Hoja 2'!A24)</f>
        <v>28.125</v>
      </c>
      <c r="J24" s="12">
        <f t="shared" si="1"/>
        <v>0.3703703704</v>
      </c>
      <c r="K24" s="3"/>
    </row>
    <row r="25">
      <c r="A25" s="5" t="s">
        <v>67</v>
      </c>
      <c r="B25" s="5" t="s">
        <v>27</v>
      </c>
      <c r="C25" s="5">
        <v>10.0</v>
      </c>
      <c r="D25" s="5" t="s">
        <v>15</v>
      </c>
      <c r="E25" s="5">
        <v>50.0</v>
      </c>
      <c r="F25" s="5" t="s">
        <v>68</v>
      </c>
      <c r="G25" s="10"/>
      <c r="H25" s="5" t="s">
        <v>17</v>
      </c>
      <c r="I25" s="11">
        <f>(('Hoja 2'!C25*G25)/'Hoja 2'!A25)*60</f>
        <v>0</v>
      </c>
      <c r="J25" s="12" t="str">
        <f t="shared" si="1"/>
        <v>#DIV/0!</v>
      </c>
      <c r="K25" s="3"/>
    </row>
    <row r="26">
      <c r="A26" s="5" t="s">
        <v>69</v>
      </c>
      <c r="B26" s="5" t="s">
        <v>14</v>
      </c>
      <c r="C26" s="5">
        <v>50.0</v>
      </c>
      <c r="D26" s="5" t="s">
        <v>15</v>
      </c>
      <c r="E26" s="5">
        <v>500.0</v>
      </c>
      <c r="F26" s="5" t="s">
        <v>70</v>
      </c>
      <c r="G26" s="10">
        <v>30.0</v>
      </c>
      <c r="H26" s="5" t="s">
        <v>23</v>
      </c>
      <c r="I26" s="11">
        <f>((G26)/'Hoja 2'!A26)*60</f>
        <v>18</v>
      </c>
      <c r="J26" s="12">
        <f t="shared" si="1"/>
        <v>1.157407407</v>
      </c>
      <c r="K26" s="3"/>
    </row>
    <row r="27">
      <c r="A27" s="5" t="s">
        <v>71</v>
      </c>
      <c r="B27" s="5" t="s">
        <v>14</v>
      </c>
      <c r="C27" s="5">
        <v>10.0</v>
      </c>
      <c r="D27" s="5" t="s">
        <v>15</v>
      </c>
      <c r="E27" s="5">
        <v>250.0</v>
      </c>
      <c r="F27" s="5" t="s">
        <v>72</v>
      </c>
      <c r="G27" s="18">
        <v>1.2</v>
      </c>
      <c r="H27" s="5" t="s">
        <v>17</v>
      </c>
      <c r="I27" s="11">
        <f>(('Hoja 2'!C27*G27)/'Hoja 2'!A27)*60</f>
        <v>162</v>
      </c>
      <c r="J27" s="12">
        <f t="shared" si="1"/>
        <v>0.06430041152</v>
      </c>
      <c r="K27" s="3"/>
    </row>
    <row r="28">
      <c r="A28" s="5" t="s">
        <v>73</v>
      </c>
      <c r="B28" s="5" t="s">
        <v>14</v>
      </c>
      <c r="C28" s="5">
        <v>40.0</v>
      </c>
      <c r="D28" s="5" t="s">
        <v>15</v>
      </c>
      <c r="E28" s="5">
        <v>50.0</v>
      </c>
      <c r="F28" s="5" t="s">
        <v>72</v>
      </c>
      <c r="G28" s="18">
        <v>1.2</v>
      </c>
      <c r="H28" s="5" t="s">
        <v>17</v>
      </c>
      <c r="I28" s="11">
        <f>(('Hoja 2'!C28*G28)/'Hoja 2'!A28)*60</f>
        <v>8.1</v>
      </c>
      <c r="J28" s="12">
        <f t="shared" si="1"/>
        <v>0.2572016461</v>
      </c>
      <c r="K28" s="3"/>
    </row>
    <row r="29">
      <c r="A29" s="5" t="s">
        <v>74</v>
      </c>
      <c r="B29" s="5" t="s">
        <v>14</v>
      </c>
      <c r="C29" s="5">
        <v>40.0</v>
      </c>
      <c r="D29" s="5" t="s">
        <v>15</v>
      </c>
      <c r="E29" s="5">
        <v>250.0</v>
      </c>
      <c r="F29" s="5" t="s">
        <v>72</v>
      </c>
      <c r="G29" s="10">
        <v>1.2</v>
      </c>
      <c r="H29" s="5" t="s">
        <v>17</v>
      </c>
      <c r="I29" s="11">
        <f>(('Hoja 2'!C29*G29)/'Hoja 2'!A29)*60</f>
        <v>40.5</v>
      </c>
      <c r="J29" s="12">
        <f t="shared" si="1"/>
        <v>0.2572016461</v>
      </c>
      <c r="K29" s="3"/>
    </row>
    <row r="30">
      <c r="A30" s="5" t="s">
        <v>75</v>
      </c>
      <c r="B30" s="5" t="s">
        <v>27</v>
      </c>
      <c r="C30" s="5">
        <v>1000.0</v>
      </c>
      <c r="D30" s="5" t="s">
        <v>15</v>
      </c>
      <c r="E30" s="5">
        <v>100.0</v>
      </c>
      <c r="F30" s="5" t="s">
        <v>76</v>
      </c>
      <c r="G30" s="10">
        <v>3.4</v>
      </c>
      <c r="H30" s="5" t="s">
        <v>29</v>
      </c>
      <c r="I30" s="11">
        <f>(('Hoja 2'!C30*G30)/'Hoja 2'!A30)</f>
        <v>30.6</v>
      </c>
      <c r="J30" s="12">
        <f t="shared" si="1"/>
        <v>0.1361655773</v>
      </c>
      <c r="K30" s="3"/>
    </row>
    <row r="31">
      <c r="A31" s="5" t="s">
        <v>77</v>
      </c>
      <c r="B31" s="5" t="s">
        <v>27</v>
      </c>
      <c r="C31" s="5">
        <v>500.0</v>
      </c>
      <c r="D31" s="5" t="s">
        <v>15</v>
      </c>
      <c r="E31" s="5">
        <v>50.0</v>
      </c>
      <c r="F31" s="5" t="s">
        <v>78</v>
      </c>
      <c r="G31" s="10">
        <v>0.5</v>
      </c>
      <c r="H31" s="5" t="s">
        <v>29</v>
      </c>
      <c r="I31" s="11">
        <f>(('Hoja 2'!C31*G31)/'Hoja 2'!A31)</f>
        <v>4.5</v>
      </c>
      <c r="J31" s="12">
        <f t="shared" si="1"/>
        <v>0.462962963</v>
      </c>
      <c r="K31" s="3"/>
    </row>
    <row r="32">
      <c r="A32" s="5" t="s">
        <v>79</v>
      </c>
      <c r="B32" s="5" t="s">
        <v>35</v>
      </c>
      <c r="C32" s="5">
        <v>3.0</v>
      </c>
      <c r="D32" s="5" t="s">
        <v>15</v>
      </c>
      <c r="E32" s="5">
        <v>250.0</v>
      </c>
      <c r="F32" s="5" t="s">
        <v>80</v>
      </c>
      <c r="G32" s="10">
        <v>3.5</v>
      </c>
      <c r="H32" s="5" t="s">
        <v>33</v>
      </c>
      <c r="I32" s="11">
        <f>(('Hoja 2'!C32*G32)/'Hoja 2'!A32)</f>
        <v>26.25</v>
      </c>
      <c r="J32" s="12">
        <f t="shared" si="1"/>
        <v>0.3968253968</v>
      </c>
      <c r="K32" s="3"/>
    </row>
    <row r="33">
      <c r="A33" s="5" t="s">
        <v>81</v>
      </c>
      <c r="B33" s="5" t="s">
        <v>27</v>
      </c>
      <c r="C33" s="5">
        <v>250.0</v>
      </c>
      <c r="D33" s="5" t="s">
        <v>15</v>
      </c>
      <c r="E33" s="5">
        <v>50.0</v>
      </c>
      <c r="F33" s="5" t="s">
        <v>82</v>
      </c>
      <c r="G33" s="10">
        <v>3.0</v>
      </c>
      <c r="H33" s="5" t="s">
        <v>17</v>
      </c>
      <c r="I33" s="11">
        <f>(('Hoja 2'!C33*G33)/'Hoja 2'!A33)*60</f>
        <v>3.24</v>
      </c>
      <c r="J33" s="12">
        <f t="shared" si="1"/>
        <v>0.6430041152</v>
      </c>
      <c r="K33" s="3"/>
    </row>
    <row r="34">
      <c r="A34" s="5" t="s">
        <v>83</v>
      </c>
      <c r="B34" s="5" t="s">
        <v>14</v>
      </c>
      <c r="C34" s="5">
        <v>1600.0</v>
      </c>
      <c r="D34" s="5" t="s">
        <v>15</v>
      </c>
      <c r="E34" s="5">
        <v>500.0</v>
      </c>
      <c r="F34" s="5" t="s">
        <v>84</v>
      </c>
      <c r="G34" s="10">
        <v>1.0</v>
      </c>
      <c r="H34" s="5" t="s">
        <v>29</v>
      </c>
      <c r="I34" s="11">
        <f>(('Hoja 2'!C34*G34)/'Hoja 2'!A34)</f>
        <v>28.125</v>
      </c>
      <c r="J34" s="12">
        <f t="shared" si="1"/>
        <v>0.7407407407</v>
      </c>
      <c r="K34" s="3"/>
    </row>
    <row r="35">
      <c r="A35" s="19"/>
      <c r="B35" s="19"/>
      <c r="C35" s="19"/>
      <c r="D35" s="19"/>
      <c r="E35" s="19"/>
      <c r="F35" s="19"/>
      <c r="G35" s="19"/>
      <c r="H35" s="19"/>
      <c r="I35" s="3"/>
      <c r="J35" s="20"/>
      <c r="K35" s="3"/>
    </row>
    <row r="36">
      <c r="A36" s="19"/>
      <c r="B36" s="19"/>
      <c r="C36" s="19"/>
      <c r="D36" s="19"/>
      <c r="E36" s="19"/>
      <c r="F36" s="19"/>
      <c r="H36" s="19"/>
      <c r="I36" s="3"/>
      <c r="J36" s="20"/>
      <c r="K36" s="3"/>
    </row>
    <row r="37">
      <c r="A37" s="19"/>
      <c r="B37" s="19"/>
      <c r="C37" s="19"/>
      <c r="D37" s="19"/>
      <c r="E37" s="19"/>
      <c r="F37" s="19"/>
      <c r="H37" s="19"/>
      <c r="I37" s="3"/>
      <c r="J37" s="20"/>
      <c r="K37" s="3"/>
    </row>
    <row r="38">
      <c r="A38" s="21"/>
      <c r="B38" s="21"/>
      <c r="C38" s="21"/>
      <c r="D38" s="21"/>
      <c r="E38" s="21"/>
      <c r="F38" s="21"/>
      <c r="G38" s="19" t="s">
        <v>37</v>
      </c>
      <c r="H38" s="21"/>
      <c r="I38" s="3"/>
      <c r="J38" s="3"/>
      <c r="K38" s="3"/>
    </row>
    <row r="39">
      <c r="A39" s="21"/>
      <c r="B39" s="21"/>
      <c r="C39" s="21"/>
      <c r="D39" s="21"/>
      <c r="E39" s="21"/>
      <c r="F39" s="21"/>
      <c r="G39" s="19" t="s">
        <v>85</v>
      </c>
      <c r="H39" s="21"/>
      <c r="I39" s="3"/>
      <c r="J39" s="3"/>
      <c r="K39" s="3"/>
    </row>
    <row r="40">
      <c r="A40" s="21"/>
      <c r="B40" s="21"/>
      <c r="C40" s="21"/>
      <c r="D40" s="21"/>
      <c r="E40" s="21"/>
      <c r="F40" s="21"/>
      <c r="G40" s="19" t="s">
        <v>86</v>
      </c>
      <c r="H40" s="21"/>
      <c r="I40" s="3"/>
      <c r="J40" s="3"/>
      <c r="K40" s="3"/>
    </row>
    <row r="41">
      <c r="A41" s="22"/>
      <c r="B41" s="22"/>
      <c r="C41" s="22"/>
      <c r="D41" s="22"/>
      <c r="E41" s="22"/>
      <c r="F41" s="22"/>
      <c r="G41" s="19" t="s">
        <v>87</v>
      </c>
      <c r="H41" s="22"/>
    </row>
    <row r="42">
      <c r="A42" s="22"/>
      <c r="B42" s="22"/>
      <c r="C42" s="22"/>
      <c r="D42" s="22"/>
      <c r="E42" s="22"/>
      <c r="F42" s="22"/>
      <c r="H42" s="22"/>
    </row>
    <row r="43">
      <c r="A43" s="22"/>
      <c r="B43" s="22"/>
      <c r="C43" s="22"/>
      <c r="D43" s="22"/>
      <c r="E43" s="22"/>
      <c r="F43" s="22"/>
      <c r="G43" s="22"/>
      <c r="H43" s="22"/>
    </row>
    <row r="44">
      <c r="A44" s="22"/>
      <c r="B44" s="22"/>
      <c r="C44" s="22"/>
      <c r="D44" s="22"/>
      <c r="E44" s="22"/>
      <c r="F44" s="22"/>
      <c r="G44" s="22"/>
      <c r="H44" s="22"/>
    </row>
    <row r="45">
      <c r="A45" s="22"/>
      <c r="B45" s="22"/>
      <c r="C45" s="22"/>
      <c r="D45" s="22"/>
      <c r="E45" s="22"/>
      <c r="F45" s="22"/>
      <c r="G45" s="22"/>
      <c r="H45" s="22"/>
    </row>
    <row r="46">
      <c r="A46" s="22"/>
      <c r="B46" s="22"/>
      <c r="C46" s="22"/>
      <c r="D46" s="22"/>
      <c r="E46" s="22"/>
      <c r="F46" s="22"/>
      <c r="G46" s="22"/>
      <c r="H46" s="22"/>
    </row>
    <row r="47">
      <c r="A47" s="22"/>
      <c r="B47" s="22"/>
      <c r="C47" s="22"/>
      <c r="D47" s="22"/>
      <c r="E47" s="22"/>
      <c r="F47" s="22"/>
      <c r="G47" s="22"/>
      <c r="H47" s="22"/>
    </row>
    <row r="48">
      <c r="A48" s="22"/>
      <c r="B48" s="22"/>
      <c r="C48" s="22"/>
      <c r="D48" s="22"/>
      <c r="E48" s="22"/>
      <c r="F48" s="22"/>
      <c r="G48" s="22"/>
      <c r="H48" s="22"/>
    </row>
    <row r="49">
      <c r="A49" s="22"/>
      <c r="B49" s="22"/>
      <c r="C49" s="22"/>
      <c r="D49" s="22"/>
      <c r="E49" s="22"/>
      <c r="F49" s="22"/>
      <c r="G49" s="22"/>
      <c r="H49" s="22"/>
    </row>
    <row r="50">
      <c r="A50" s="22"/>
      <c r="B50" s="22"/>
      <c r="C50" s="22"/>
      <c r="D50" s="22"/>
      <c r="E50" s="22"/>
      <c r="F50" s="22"/>
      <c r="G50" s="22"/>
      <c r="H50" s="22"/>
    </row>
    <row r="51">
      <c r="A51" s="22"/>
      <c r="B51" s="22"/>
      <c r="C51" s="22"/>
      <c r="D51" s="22"/>
      <c r="E51" s="22"/>
      <c r="F51" s="22"/>
      <c r="G51" s="22"/>
      <c r="H51" s="22"/>
    </row>
    <row r="52">
      <c r="A52" s="22"/>
      <c r="B52" s="22"/>
      <c r="C52" s="22"/>
      <c r="D52" s="22"/>
      <c r="E52" s="22"/>
      <c r="F52" s="22"/>
      <c r="G52" s="22"/>
      <c r="H52" s="22"/>
    </row>
    <row r="53">
      <c r="A53" s="22"/>
      <c r="B53" s="22"/>
      <c r="C53" s="22"/>
      <c r="D53" s="22"/>
      <c r="E53" s="22"/>
      <c r="F53" s="22"/>
      <c r="G53" s="22"/>
      <c r="H53" s="22"/>
    </row>
    <row r="54">
      <c r="A54" s="22"/>
      <c r="B54" s="22"/>
      <c r="C54" s="22"/>
      <c r="D54" s="22"/>
      <c r="E54" s="22"/>
      <c r="F54" s="22"/>
      <c r="G54" s="22"/>
      <c r="H54" s="22"/>
    </row>
    <row r="55">
      <c r="A55" s="22"/>
      <c r="B55" s="22"/>
      <c r="C55" s="22"/>
      <c r="D55" s="22"/>
      <c r="E55" s="22"/>
      <c r="F55" s="22"/>
      <c r="G55" s="22"/>
      <c r="H55" s="22"/>
    </row>
    <row r="56">
      <c r="A56" s="22"/>
      <c r="B56" s="22"/>
      <c r="C56" s="22"/>
      <c r="D56" s="22"/>
      <c r="E56" s="22"/>
      <c r="F56" s="22"/>
      <c r="G56" s="22"/>
      <c r="H56" s="22"/>
    </row>
    <row r="57">
      <c r="A57" s="22"/>
      <c r="B57" s="22"/>
      <c r="C57" s="22"/>
      <c r="D57" s="22"/>
      <c r="E57" s="22"/>
      <c r="F57" s="22"/>
      <c r="G57" s="22"/>
      <c r="H57" s="22"/>
    </row>
    <row r="58">
      <c r="A58" s="22"/>
      <c r="B58" s="22"/>
      <c r="C58" s="22"/>
      <c r="D58" s="22"/>
      <c r="E58" s="22"/>
      <c r="F58" s="22"/>
      <c r="G58" s="22"/>
      <c r="H58" s="22"/>
    </row>
    <row r="59">
      <c r="A59" s="22"/>
      <c r="B59" s="22"/>
      <c r="C59" s="22"/>
      <c r="D59" s="22"/>
      <c r="E59" s="22"/>
      <c r="F59" s="22"/>
      <c r="G59" s="22"/>
      <c r="H59" s="22"/>
    </row>
    <row r="60">
      <c r="A60" s="22"/>
      <c r="B60" s="22"/>
      <c r="C60" s="22"/>
      <c r="D60" s="22"/>
      <c r="E60" s="22"/>
      <c r="F60" s="22"/>
      <c r="G60" s="22"/>
      <c r="H60" s="22"/>
    </row>
    <row r="61">
      <c r="A61" s="22"/>
      <c r="B61" s="22"/>
      <c r="C61" s="22"/>
      <c r="D61" s="22"/>
      <c r="E61" s="22"/>
      <c r="F61" s="22"/>
      <c r="G61" s="22"/>
      <c r="H61" s="22"/>
    </row>
    <row r="62">
      <c r="A62" s="22"/>
      <c r="B62" s="22"/>
      <c r="C62" s="22"/>
      <c r="D62" s="22"/>
      <c r="E62" s="22"/>
      <c r="F62" s="22"/>
      <c r="G62" s="22"/>
      <c r="H62" s="22"/>
    </row>
    <row r="63">
      <c r="A63" s="22"/>
      <c r="B63" s="22"/>
      <c r="C63" s="22"/>
      <c r="D63" s="22"/>
      <c r="E63" s="22"/>
      <c r="F63" s="22"/>
      <c r="G63" s="22"/>
      <c r="H63" s="22"/>
    </row>
    <row r="64">
      <c r="A64" s="22"/>
      <c r="B64" s="22"/>
      <c r="C64" s="22"/>
      <c r="D64" s="22"/>
      <c r="E64" s="22"/>
      <c r="F64" s="22"/>
      <c r="G64" s="22"/>
      <c r="H64" s="22"/>
    </row>
    <row r="65">
      <c r="A65" s="22"/>
      <c r="B65" s="22"/>
      <c r="C65" s="22"/>
      <c r="D65" s="22"/>
      <c r="E65" s="22"/>
      <c r="F65" s="22"/>
      <c r="G65" s="22"/>
      <c r="H65" s="22"/>
    </row>
    <row r="66">
      <c r="A66" s="22"/>
      <c r="B66" s="22"/>
      <c r="C66" s="22"/>
      <c r="D66" s="22"/>
      <c r="E66" s="22"/>
      <c r="F66" s="22"/>
      <c r="G66" s="22"/>
      <c r="H66" s="22"/>
    </row>
    <row r="67">
      <c r="A67" s="22"/>
      <c r="B67" s="22"/>
      <c r="C67" s="22"/>
      <c r="D67" s="22"/>
      <c r="E67" s="22"/>
      <c r="F67" s="22"/>
      <c r="G67" s="22"/>
      <c r="H67" s="22"/>
    </row>
    <row r="68">
      <c r="A68" s="22"/>
      <c r="B68" s="22"/>
      <c r="C68" s="22"/>
      <c r="D68" s="22"/>
      <c r="E68" s="22"/>
      <c r="F68" s="22"/>
      <c r="G68" s="22"/>
      <c r="H68" s="22"/>
    </row>
    <row r="69">
      <c r="A69" s="22"/>
      <c r="B69" s="22"/>
      <c r="C69" s="22"/>
      <c r="D69" s="22"/>
      <c r="E69" s="22"/>
      <c r="F69" s="22"/>
      <c r="G69" s="22"/>
      <c r="H69" s="22"/>
    </row>
    <row r="70">
      <c r="A70" s="22"/>
      <c r="B70" s="22"/>
      <c r="C70" s="22"/>
      <c r="D70" s="22"/>
      <c r="E70" s="22"/>
      <c r="F70" s="22"/>
      <c r="G70" s="22"/>
      <c r="H70" s="22"/>
    </row>
    <row r="71">
      <c r="A71" s="22"/>
      <c r="B71" s="22"/>
      <c r="C71" s="22"/>
      <c r="D71" s="22"/>
      <c r="E71" s="22"/>
      <c r="F71" s="22"/>
      <c r="G71" s="22"/>
      <c r="H71" s="22"/>
    </row>
    <row r="72">
      <c r="A72" s="22"/>
      <c r="B72" s="22"/>
      <c r="C72" s="22"/>
      <c r="D72" s="22"/>
      <c r="E72" s="22"/>
      <c r="F72" s="22"/>
      <c r="G72" s="22"/>
      <c r="H72" s="22"/>
    </row>
    <row r="73">
      <c r="A73" s="22"/>
      <c r="B73" s="22"/>
      <c r="C73" s="22"/>
      <c r="D73" s="22"/>
      <c r="E73" s="22"/>
      <c r="F73" s="22"/>
      <c r="G73" s="22"/>
      <c r="H73" s="22"/>
    </row>
    <row r="74">
      <c r="A74" s="22"/>
      <c r="B74" s="22"/>
      <c r="C74" s="22"/>
      <c r="D74" s="22"/>
      <c r="E74" s="22"/>
      <c r="F74" s="22"/>
      <c r="G74" s="22"/>
      <c r="H74" s="22"/>
    </row>
    <row r="75">
      <c r="A75" s="22"/>
      <c r="B75" s="22"/>
      <c r="C75" s="22"/>
      <c r="D75" s="22"/>
      <c r="E75" s="22"/>
      <c r="F75" s="22"/>
      <c r="G75" s="22"/>
      <c r="H75" s="22"/>
    </row>
  </sheetData>
  <mergeCells count="4">
    <mergeCell ref="C1:E1"/>
    <mergeCell ref="L14:L17"/>
    <mergeCell ref="L18:L21"/>
    <mergeCell ref="G35:G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75"/>
    <col customWidth="1" min="2" max="3" width="11.38"/>
    <col customWidth="1" min="4" max="4" width="13.25"/>
    <col customWidth="1" min="5" max="5" width="13.63"/>
    <col customWidth="1" min="6" max="6" width="23.0"/>
    <col customWidth="1" min="7" max="7" width="14.75"/>
    <col customWidth="1" min="8" max="8" width="16.88"/>
    <col customWidth="1" min="9" max="9" width="11.0"/>
    <col customWidth="1" min="10" max="10" width="16.0"/>
    <col customWidth="1" min="12" max="12" width="14.0"/>
  </cols>
  <sheetData>
    <row r="1">
      <c r="A1" s="1" t="s">
        <v>0</v>
      </c>
      <c r="B1" s="1"/>
      <c r="C1" s="1" t="s">
        <v>1</v>
      </c>
      <c r="F1" s="1" t="s">
        <v>2</v>
      </c>
      <c r="G1" s="1" t="s">
        <v>4</v>
      </c>
      <c r="H1" s="1" t="s">
        <v>3</v>
      </c>
      <c r="I1" s="1"/>
      <c r="J1" s="1" t="s">
        <v>5</v>
      </c>
      <c r="K1" s="3"/>
      <c r="L1" s="4"/>
    </row>
    <row r="2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/>
      <c r="G2" s="7"/>
      <c r="H2" s="6"/>
      <c r="I2" s="5" t="s">
        <v>11</v>
      </c>
      <c r="J2" s="7"/>
      <c r="K2" s="3"/>
    </row>
    <row r="3">
      <c r="A3" s="5" t="s">
        <v>13</v>
      </c>
      <c r="B3" s="5" t="s">
        <v>14</v>
      </c>
      <c r="C3" s="5">
        <v>10.0</v>
      </c>
      <c r="D3" s="5" t="s">
        <v>15</v>
      </c>
      <c r="E3" s="5">
        <v>250.0</v>
      </c>
      <c r="F3" s="5" t="s">
        <v>16</v>
      </c>
      <c r="G3" s="23"/>
      <c r="H3" s="24">
        <f>((G3*'Hoja 2'!A3)/(60*'Hoja 2'!C3))</f>
        <v>0</v>
      </c>
      <c r="I3" s="5" t="s">
        <v>17</v>
      </c>
      <c r="J3" s="12" t="str">
        <f t="shared" ref="J3:J30" si="1">(E3/G3)/24</f>
        <v>#DIV/0!</v>
      </c>
      <c r="K3" s="3"/>
    </row>
    <row r="4">
      <c r="A4" s="5" t="s">
        <v>19</v>
      </c>
      <c r="B4" s="5" t="s">
        <v>14</v>
      </c>
      <c r="C4" s="5">
        <v>10.0</v>
      </c>
      <c r="D4" s="5" t="s">
        <v>15</v>
      </c>
      <c r="E4" s="5">
        <v>50.0</v>
      </c>
      <c r="F4" s="5" t="s">
        <v>16</v>
      </c>
      <c r="G4" s="23"/>
      <c r="H4" s="24">
        <f>((G4*'Hoja 2'!A4)/(60*'Hoja 2'!C4))</f>
        <v>0</v>
      </c>
      <c r="I4" s="5" t="s">
        <v>17</v>
      </c>
      <c r="J4" s="12" t="str">
        <f t="shared" si="1"/>
        <v>#DIV/0!</v>
      </c>
      <c r="K4" s="3"/>
    </row>
    <row r="5">
      <c r="A5" s="5" t="s">
        <v>20</v>
      </c>
      <c r="B5" s="5" t="s">
        <v>14</v>
      </c>
      <c r="C5" s="5">
        <v>20.0</v>
      </c>
      <c r="D5" s="5" t="s">
        <v>15</v>
      </c>
      <c r="E5" s="5">
        <v>250.0</v>
      </c>
      <c r="F5" s="5" t="s">
        <v>16</v>
      </c>
      <c r="G5" s="23"/>
      <c r="H5" s="24">
        <f>((G5*'Hoja 2'!A5)/(60*'Hoja 2'!C5))</f>
        <v>0</v>
      </c>
      <c r="I5" s="5" t="s">
        <v>17</v>
      </c>
      <c r="J5" s="12" t="str">
        <f t="shared" si="1"/>
        <v>#DIV/0!</v>
      </c>
      <c r="K5" s="3"/>
    </row>
    <row r="6">
      <c r="A6" s="5" t="s">
        <v>21</v>
      </c>
      <c r="B6" s="5" t="s">
        <v>14</v>
      </c>
      <c r="C6" s="5">
        <v>2.0</v>
      </c>
      <c r="D6" s="5" t="s">
        <v>15</v>
      </c>
      <c r="E6" s="5">
        <v>500.0</v>
      </c>
      <c r="F6" s="5" t="s">
        <v>22</v>
      </c>
      <c r="G6" s="23">
        <v>50.0</v>
      </c>
      <c r="H6" s="24">
        <f>((G6*'Hoja 2'!A6)/60)</f>
        <v>3.333333333</v>
      </c>
      <c r="I6" s="5" t="s">
        <v>23</v>
      </c>
      <c r="J6" s="12">
        <f t="shared" si="1"/>
        <v>0.4166666667</v>
      </c>
      <c r="K6" s="3"/>
    </row>
    <row r="7">
      <c r="A7" s="5" t="s">
        <v>24</v>
      </c>
      <c r="B7" s="5" t="s">
        <v>14</v>
      </c>
      <c r="C7" s="5">
        <v>900.0</v>
      </c>
      <c r="D7" s="5" t="s">
        <v>15</v>
      </c>
      <c r="E7" s="5">
        <v>250.0</v>
      </c>
      <c r="F7" s="5" t="s">
        <v>25</v>
      </c>
      <c r="G7" s="23">
        <v>30.0</v>
      </c>
      <c r="H7" s="24">
        <f>((G7*'Hoja 2'!A7)/(60*'Hoja 2'!C7))</f>
        <v>20</v>
      </c>
      <c r="I7" s="5" t="s">
        <v>17</v>
      </c>
      <c r="J7" s="12">
        <f t="shared" si="1"/>
        <v>0.3472222222</v>
      </c>
      <c r="K7" s="3"/>
    </row>
    <row r="8">
      <c r="A8" s="5" t="s">
        <v>26</v>
      </c>
      <c r="B8" s="5" t="s">
        <v>27</v>
      </c>
      <c r="C8" s="5">
        <v>40.0</v>
      </c>
      <c r="D8" s="5" t="s">
        <v>15</v>
      </c>
      <c r="E8" s="5">
        <v>50.0</v>
      </c>
      <c r="F8" s="5" t="s">
        <v>28</v>
      </c>
      <c r="G8" s="23">
        <v>6.0</v>
      </c>
      <c r="H8" s="24">
        <f>((G8*'Hoja 2'!A8)/('Hoja 2'!C8))</f>
        <v>0.05333333333</v>
      </c>
      <c r="I8" s="5" t="s">
        <v>29</v>
      </c>
      <c r="J8" s="12">
        <f t="shared" si="1"/>
        <v>0.3472222222</v>
      </c>
      <c r="K8" s="3"/>
    </row>
    <row r="9">
      <c r="A9" s="5" t="s">
        <v>30</v>
      </c>
      <c r="B9" s="5" t="s">
        <v>27</v>
      </c>
      <c r="C9" s="5">
        <v>150.0</v>
      </c>
      <c r="D9" s="5" t="s">
        <v>15</v>
      </c>
      <c r="E9" s="5">
        <v>50.0</v>
      </c>
      <c r="F9" s="5" t="s">
        <v>88</v>
      </c>
      <c r="G9" s="23">
        <v>3.0</v>
      </c>
      <c r="H9" s="24">
        <f>((G9*'Hoja 2'!A9)/('Hoja 2'!C9))</f>
        <v>0.1</v>
      </c>
      <c r="I9" s="5" t="s">
        <v>29</v>
      </c>
      <c r="J9" s="12">
        <f t="shared" si="1"/>
        <v>0.6944444444</v>
      </c>
      <c r="K9" s="3"/>
    </row>
    <row r="10">
      <c r="A10" s="5" t="s">
        <v>31</v>
      </c>
      <c r="B10" s="5" t="s">
        <v>14</v>
      </c>
      <c r="C10" s="5">
        <v>1.5</v>
      </c>
      <c r="D10" s="5" t="s">
        <v>15</v>
      </c>
      <c r="E10" s="5">
        <v>250.0</v>
      </c>
      <c r="F10" s="5" t="s">
        <v>32</v>
      </c>
      <c r="G10" s="23"/>
      <c r="H10" s="24">
        <f>((G10*'Hoja 2'!A10)/('Hoja 2'!C10))</f>
        <v>0</v>
      </c>
      <c r="I10" s="5" t="s">
        <v>33</v>
      </c>
      <c r="J10" s="12" t="str">
        <f t="shared" si="1"/>
        <v>#DIV/0!</v>
      </c>
      <c r="K10" s="3"/>
    </row>
    <row r="11">
      <c r="A11" s="5" t="s">
        <v>34</v>
      </c>
      <c r="B11" s="5" t="s">
        <v>35</v>
      </c>
      <c r="C11" s="5">
        <v>0.4</v>
      </c>
      <c r="D11" s="5" t="s">
        <v>15</v>
      </c>
      <c r="E11" s="5">
        <v>100.0</v>
      </c>
      <c r="F11" s="5" t="s">
        <v>36</v>
      </c>
      <c r="G11" s="23">
        <v>14.0</v>
      </c>
      <c r="H11" s="24">
        <f>((G11*'Hoja 2'!A11)/('Hoja 2'!C11))</f>
        <v>0.6222222222</v>
      </c>
      <c r="I11" s="5" t="s">
        <v>33</v>
      </c>
      <c r="J11" s="12">
        <f t="shared" si="1"/>
        <v>0.2976190476</v>
      </c>
      <c r="K11" s="3"/>
      <c r="L11" s="4" t="s">
        <v>37</v>
      </c>
    </row>
    <row r="12">
      <c r="A12" s="5" t="s">
        <v>38</v>
      </c>
      <c r="B12" s="5" t="s">
        <v>35</v>
      </c>
      <c r="C12" s="5">
        <v>1.0</v>
      </c>
      <c r="D12" s="5" t="s">
        <v>15</v>
      </c>
      <c r="E12" s="5">
        <v>250.0</v>
      </c>
      <c r="F12" s="5" t="s">
        <v>36</v>
      </c>
      <c r="G12" s="23">
        <v>10.0</v>
      </c>
      <c r="H12" s="24">
        <f>((G12*'Hoja 2'!A12)/('Hoja 2'!C12))</f>
        <v>0.4444444444</v>
      </c>
      <c r="I12" s="5" t="s">
        <v>33</v>
      </c>
      <c r="J12" s="12">
        <f t="shared" si="1"/>
        <v>1.041666667</v>
      </c>
      <c r="K12" s="3"/>
      <c r="L12" s="4" t="s">
        <v>39</v>
      </c>
    </row>
    <row r="13">
      <c r="A13" s="5" t="s">
        <v>40</v>
      </c>
      <c r="B13" s="5" t="s">
        <v>14</v>
      </c>
      <c r="C13" s="5">
        <v>400.0</v>
      </c>
      <c r="D13" s="5" t="s">
        <v>15</v>
      </c>
      <c r="E13" s="5">
        <v>250.0</v>
      </c>
      <c r="F13" s="5" t="s">
        <v>41</v>
      </c>
      <c r="G13" s="23">
        <v>8.0</v>
      </c>
      <c r="H13" s="24">
        <f>((G13*'Hoja 2'!A13)/(60*'Hoja 2'!C13))</f>
        <v>2.37037037</v>
      </c>
      <c r="I13" s="5" t="s">
        <v>17</v>
      </c>
      <c r="J13" s="12">
        <f t="shared" si="1"/>
        <v>1.302083333</v>
      </c>
      <c r="K13" s="3"/>
      <c r="L13" s="4" t="s">
        <v>42</v>
      </c>
    </row>
    <row r="14">
      <c r="A14" s="5" t="s">
        <v>43</v>
      </c>
      <c r="B14" s="5" t="s">
        <v>14</v>
      </c>
      <c r="C14" s="5">
        <v>250.0</v>
      </c>
      <c r="D14" s="5" t="s">
        <v>15</v>
      </c>
      <c r="E14" s="5">
        <v>250.0</v>
      </c>
      <c r="F14" s="5" t="s">
        <v>44</v>
      </c>
      <c r="G14" s="23">
        <v>21.0</v>
      </c>
      <c r="H14" s="24">
        <f>((G14*'Hoja 2'!A14)/(60*'Hoja 2'!C14))</f>
        <v>3.888888889</v>
      </c>
      <c r="I14" s="5" t="s">
        <v>17</v>
      </c>
      <c r="J14" s="12">
        <f t="shared" si="1"/>
        <v>0.496031746</v>
      </c>
      <c r="K14" s="3"/>
    </row>
    <row r="15">
      <c r="A15" s="5" t="s">
        <v>45</v>
      </c>
      <c r="B15" s="5" t="s">
        <v>35</v>
      </c>
      <c r="C15" s="5">
        <v>1.5</v>
      </c>
      <c r="D15" s="5" t="s">
        <v>15</v>
      </c>
      <c r="E15" s="5">
        <v>50.0</v>
      </c>
      <c r="F15" s="5" t="s">
        <v>89</v>
      </c>
      <c r="G15" s="23">
        <v>2.0</v>
      </c>
      <c r="H15" s="24">
        <f>((G15*'Hoja 2'!A15)/('Hoja 2'!C15))</f>
        <v>0.6666666667</v>
      </c>
      <c r="I15" s="5" t="s">
        <v>33</v>
      </c>
      <c r="J15" s="12">
        <f t="shared" si="1"/>
        <v>1.041666667</v>
      </c>
      <c r="K15" s="3"/>
    </row>
    <row r="16">
      <c r="A16" s="5" t="s">
        <v>47</v>
      </c>
      <c r="B16" s="5" t="s">
        <v>14</v>
      </c>
      <c r="C16" s="5">
        <v>2.5</v>
      </c>
      <c r="D16" s="5" t="s">
        <v>15</v>
      </c>
      <c r="E16" s="5">
        <v>250.0</v>
      </c>
      <c r="F16" s="5" t="s">
        <v>48</v>
      </c>
      <c r="G16" s="23">
        <v>30.0</v>
      </c>
      <c r="H16" s="24">
        <f>((G16*'Hoja 2'!A16))</f>
        <v>0.3</v>
      </c>
      <c r="I16" s="5" t="s">
        <v>49</v>
      </c>
      <c r="J16" s="12">
        <f t="shared" si="1"/>
        <v>0.3472222222</v>
      </c>
      <c r="K16" s="3"/>
    </row>
    <row r="17">
      <c r="A17" s="5" t="s">
        <v>50</v>
      </c>
      <c r="B17" s="5" t="s">
        <v>14</v>
      </c>
      <c r="C17" s="5">
        <v>100.0</v>
      </c>
      <c r="D17" s="5" t="s">
        <v>15</v>
      </c>
      <c r="E17" s="5">
        <v>100.0</v>
      </c>
      <c r="F17" s="5" t="s">
        <v>51</v>
      </c>
      <c r="G17" s="23"/>
      <c r="H17" s="24">
        <f>((G17*'Hoja 2'!A17))</f>
        <v>0</v>
      </c>
      <c r="I17" s="5" t="s">
        <v>49</v>
      </c>
      <c r="J17" s="12" t="str">
        <f t="shared" si="1"/>
        <v>#DIV/0!</v>
      </c>
      <c r="K17" s="3"/>
    </row>
    <row r="18">
      <c r="A18" s="5" t="s">
        <v>52</v>
      </c>
      <c r="B18" s="5" t="s">
        <v>14</v>
      </c>
      <c r="C18" s="5">
        <v>200.0</v>
      </c>
      <c r="D18" s="5" t="s">
        <v>15</v>
      </c>
      <c r="E18" s="5">
        <v>250.0</v>
      </c>
      <c r="F18" s="5" t="s">
        <v>53</v>
      </c>
      <c r="G18" s="23"/>
      <c r="H18" s="24">
        <f>((G18*'Hoja 2'!A18))</f>
        <v>0</v>
      </c>
      <c r="I18" s="5" t="s">
        <v>49</v>
      </c>
      <c r="J18" s="12" t="str">
        <f t="shared" si="1"/>
        <v>#DIV/0!</v>
      </c>
      <c r="K18" s="3"/>
      <c r="L18" s="25">
        <v>80.0</v>
      </c>
    </row>
    <row r="19">
      <c r="A19" s="5" t="s">
        <v>54</v>
      </c>
      <c r="B19" s="5" t="s">
        <v>14</v>
      </c>
      <c r="C19" s="5">
        <v>12.5</v>
      </c>
      <c r="D19" s="5" t="s">
        <v>15</v>
      </c>
      <c r="E19" s="5">
        <v>250.0</v>
      </c>
      <c r="F19" s="5" t="s">
        <v>55</v>
      </c>
      <c r="G19" s="23"/>
      <c r="H19" s="24">
        <f>((G19*'Hoja 2'!A19)/(60*'Hoja 2'!C19))</f>
        <v>0</v>
      </c>
      <c r="I19" s="5" t="s">
        <v>17</v>
      </c>
      <c r="J19" s="12" t="str">
        <f t="shared" si="1"/>
        <v>#DIV/0!</v>
      </c>
      <c r="K19" s="3"/>
      <c r="L19" s="14"/>
    </row>
    <row r="20">
      <c r="A20" s="5" t="s">
        <v>56</v>
      </c>
      <c r="B20" s="15" t="s">
        <v>35</v>
      </c>
      <c r="C20" s="5">
        <v>4500.0</v>
      </c>
      <c r="D20" s="5" t="s">
        <v>15</v>
      </c>
      <c r="E20" s="5">
        <v>250.0</v>
      </c>
      <c r="F20" s="5" t="s">
        <v>57</v>
      </c>
      <c r="G20" s="23"/>
      <c r="H20" s="24">
        <f>((G20*'Hoja 2'!A20)/60)</f>
        <v>0</v>
      </c>
      <c r="I20" s="5" t="s">
        <v>58</v>
      </c>
      <c r="J20" s="12" t="str">
        <f t="shared" si="1"/>
        <v>#DIV/0!</v>
      </c>
      <c r="K20" s="3"/>
      <c r="L20" s="14"/>
    </row>
    <row r="21">
      <c r="A21" s="5" t="s">
        <v>59</v>
      </c>
      <c r="B21" s="5" t="s">
        <v>27</v>
      </c>
      <c r="C21" s="5">
        <v>250.0</v>
      </c>
      <c r="D21" s="5" t="s">
        <v>15</v>
      </c>
      <c r="E21" s="5">
        <v>50.0</v>
      </c>
      <c r="F21" s="5" t="s">
        <v>60</v>
      </c>
      <c r="G21" s="23">
        <v>1.0</v>
      </c>
      <c r="H21" s="24">
        <f>((G21*'Hoja 2'!A21)/('Hoja 2'!C21))</f>
        <v>0.05555555556</v>
      </c>
      <c r="I21" s="5" t="s">
        <v>29</v>
      </c>
      <c r="J21" s="12">
        <f t="shared" si="1"/>
        <v>2.083333333</v>
      </c>
      <c r="K21" s="3"/>
      <c r="L21" s="16"/>
    </row>
    <row r="22">
      <c r="A22" s="5" t="s">
        <v>61</v>
      </c>
      <c r="B22" s="17" t="s">
        <v>35</v>
      </c>
      <c r="C22" s="5">
        <v>30.0</v>
      </c>
      <c r="D22" s="5" t="s">
        <v>15</v>
      </c>
      <c r="E22" s="5">
        <v>250.0</v>
      </c>
      <c r="F22" s="5" t="s">
        <v>62</v>
      </c>
      <c r="G22" s="23"/>
      <c r="H22" s="24">
        <f>((G22*'Hoja 2'!A22)/(60*'Hoja 2'!C22))</f>
        <v>0</v>
      </c>
      <c r="I22" s="5" t="s">
        <v>17</v>
      </c>
      <c r="J22" s="12" t="str">
        <f t="shared" si="1"/>
        <v>#DIV/0!</v>
      </c>
      <c r="K22" s="3"/>
    </row>
    <row r="23">
      <c r="A23" s="5" t="s">
        <v>63</v>
      </c>
      <c r="B23" s="5" t="s">
        <v>35</v>
      </c>
      <c r="C23" s="5">
        <v>50.0</v>
      </c>
      <c r="D23" s="5" t="s">
        <v>15</v>
      </c>
      <c r="E23" s="5">
        <v>50.0</v>
      </c>
      <c r="F23" s="5" t="s">
        <v>64</v>
      </c>
      <c r="G23" s="23"/>
      <c r="H23" s="24">
        <f>((G23*'Hoja 2'!A23))</f>
        <v>0</v>
      </c>
      <c r="I23" s="5" t="s">
        <v>49</v>
      </c>
      <c r="J23" s="12" t="str">
        <f t="shared" si="1"/>
        <v>#DIV/0!</v>
      </c>
      <c r="K23" s="3"/>
    </row>
    <row r="24">
      <c r="A24" s="5" t="s">
        <v>65</v>
      </c>
      <c r="B24" s="5" t="s">
        <v>35</v>
      </c>
      <c r="C24" s="5">
        <v>4.0</v>
      </c>
      <c r="D24" s="5" t="s">
        <v>15</v>
      </c>
      <c r="E24" s="5">
        <v>250.0</v>
      </c>
      <c r="F24" s="5" t="s">
        <v>66</v>
      </c>
      <c r="G24" s="23"/>
      <c r="H24" s="24">
        <f>((G24*'Hoja 2'!A24)/('Hoja 2'!C24))</f>
        <v>0</v>
      </c>
      <c r="I24" s="5" t="s">
        <v>33</v>
      </c>
      <c r="J24" s="12" t="str">
        <f t="shared" si="1"/>
        <v>#DIV/0!</v>
      </c>
      <c r="K24" s="3"/>
      <c r="L24" s="9"/>
    </row>
    <row r="25">
      <c r="A25" s="5" t="s">
        <v>67</v>
      </c>
      <c r="B25" s="5" t="s">
        <v>27</v>
      </c>
      <c r="C25" s="5">
        <v>10.0</v>
      </c>
      <c r="D25" s="5" t="s">
        <v>15</v>
      </c>
      <c r="E25" s="5">
        <v>50.0</v>
      </c>
      <c r="F25" s="5" t="s">
        <v>68</v>
      </c>
      <c r="G25" s="23"/>
      <c r="H25" s="24">
        <f>((G25*'Hoja 2'!A25)/(60*'Hoja 2'!C25))</f>
        <v>0</v>
      </c>
      <c r="I25" s="5" t="s">
        <v>17</v>
      </c>
      <c r="J25" s="12" t="str">
        <f t="shared" si="1"/>
        <v>#DIV/0!</v>
      </c>
      <c r="K25" s="3"/>
    </row>
    <row r="26">
      <c r="A26" s="5" t="s">
        <v>69</v>
      </c>
      <c r="B26" s="5" t="s">
        <v>14</v>
      </c>
      <c r="C26" s="5">
        <v>50.0</v>
      </c>
      <c r="D26" s="5" t="s">
        <v>15</v>
      </c>
      <c r="E26" s="5">
        <v>500.0</v>
      </c>
      <c r="F26" s="5" t="s">
        <v>70</v>
      </c>
      <c r="G26" s="23">
        <v>10.0</v>
      </c>
      <c r="H26" s="24">
        <f>((G26*'Hoja 2'!A26)/60)</f>
        <v>16.66666667</v>
      </c>
      <c r="I26" s="5" t="s">
        <v>23</v>
      </c>
      <c r="J26" s="12">
        <f t="shared" si="1"/>
        <v>2.083333333</v>
      </c>
      <c r="K26" s="3"/>
    </row>
    <row r="27">
      <c r="A27" s="5" t="s">
        <v>71</v>
      </c>
      <c r="B27" s="5" t="s">
        <v>14</v>
      </c>
      <c r="C27" s="5">
        <v>20.0</v>
      </c>
      <c r="D27" s="5" t="s">
        <v>15</v>
      </c>
      <c r="E27" s="5">
        <v>250.0</v>
      </c>
      <c r="F27" s="5" t="s">
        <v>72</v>
      </c>
      <c r="G27" s="23">
        <v>20.0</v>
      </c>
      <c r="H27" s="24">
        <f>((G27*'Hoja 2'!A27)/(60*'Hoja 2'!C27))</f>
        <v>0.1481481481</v>
      </c>
      <c r="I27" s="5" t="s">
        <v>17</v>
      </c>
      <c r="J27" s="12">
        <f t="shared" si="1"/>
        <v>0.5208333333</v>
      </c>
      <c r="K27" s="3"/>
    </row>
    <row r="28">
      <c r="A28" s="5" t="s">
        <v>73</v>
      </c>
      <c r="B28" s="5" t="s">
        <v>14</v>
      </c>
      <c r="C28" s="5">
        <v>40.0</v>
      </c>
      <c r="D28" s="5" t="s">
        <v>15</v>
      </c>
      <c r="E28" s="5">
        <v>50.0</v>
      </c>
      <c r="F28" s="5" t="s">
        <v>72</v>
      </c>
      <c r="G28" s="23">
        <v>2.0</v>
      </c>
      <c r="H28" s="24">
        <f>((G28*'Hoja 2'!A28)/(60*'Hoja 2'!C28))</f>
        <v>0.2962962963</v>
      </c>
      <c r="I28" s="5" t="s">
        <v>17</v>
      </c>
      <c r="J28" s="12">
        <f t="shared" si="1"/>
        <v>1.041666667</v>
      </c>
      <c r="K28" s="3"/>
    </row>
    <row r="29">
      <c r="A29" s="5" t="s">
        <v>74</v>
      </c>
      <c r="B29" s="5" t="s">
        <v>14</v>
      </c>
      <c r="C29" s="5">
        <v>40.0</v>
      </c>
      <c r="D29" s="5" t="s">
        <v>15</v>
      </c>
      <c r="E29" s="5">
        <v>250.0</v>
      </c>
      <c r="F29" s="5" t="s">
        <v>72</v>
      </c>
      <c r="G29" s="23">
        <v>2.0</v>
      </c>
      <c r="H29" s="24">
        <f>((G29*'Hoja 2'!A29)/(60*'Hoja 2'!C29))</f>
        <v>0.05925925926</v>
      </c>
      <c r="I29" s="5" t="s">
        <v>17</v>
      </c>
      <c r="J29" s="12">
        <f t="shared" si="1"/>
        <v>5.208333333</v>
      </c>
      <c r="K29" s="3"/>
    </row>
    <row r="30">
      <c r="A30" s="5" t="s">
        <v>75</v>
      </c>
      <c r="B30" s="5" t="s">
        <v>27</v>
      </c>
      <c r="C30" s="5">
        <v>1000.0</v>
      </c>
      <c r="D30" s="5" t="s">
        <v>15</v>
      </c>
      <c r="E30" s="5">
        <v>100.0</v>
      </c>
      <c r="F30" s="5" t="s">
        <v>76</v>
      </c>
      <c r="G30" s="23">
        <v>18.0</v>
      </c>
      <c r="H30" s="24">
        <f>((G30*'Hoja 2'!A30)/('Hoja 2'!C30))</f>
        <v>2</v>
      </c>
      <c r="I30" s="5" t="s">
        <v>29</v>
      </c>
      <c r="J30" s="12">
        <f t="shared" si="1"/>
        <v>0.2314814815</v>
      </c>
      <c r="K30" s="3"/>
    </row>
    <row r="31">
      <c r="A31" s="5" t="s">
        <v>77</v>
      </c>
      <c r="B31" s="5" t="s">
        <v>27</v>
      </c>
      <c r="C31" s="5">
        <v>500.0</v>
      </c>
      <c r="D31" s="5" t="s">
        <v>15</v>
      </c>
      <c r="E31" s="5">
        <v>50.0</v>
      </c>
      <c r="F31" s="5" t="s">
        <v>78</v>
      </c>
      <c r="G31" s="23"/>
      <c r="H31" s="24">
        <f>((G31*'Hoja 2'!A31)/('Hoja 2'!C31))</f>
        <v>0</v>
      </c>
      <c r="I31" s="5"/>
      <c r="J31" s="12"/>
      <c r="K31" s="3"/>
    </row>
    <row r="32">
      <c r="A32" s="5" t="s">
        <v>79</v>
      </c>
      <c r="B32" s="5" t="s">
        <v>35</v>
      </c>
      <c r="C32" s="5">
        <v>3.0</v>
      </c>
      <c r="D32" s="5" t="s">
        <v>15</v>
      </c>
      <c r="E32" s="5">
        <v>250.0</v>
      </c>
      <c r="F32" s="5" t="s">
        <v>80</v>
      </c>
      <c r="G32" s="23"/>
      <c r="H32" s="24">
        <f>((G32*'Hoja 2'!A32)/('Hoja 2'!C32))</f>
        <v>0</v>
      </c>
      <c r="I32" s="5" t="s">
        <v>33</v>
      </c>
      <c r="J32" s="12" t="str">
        <f t="shared" ref="J32:J34" si="2">(E32/G32)/24</f>
        <v>#DIV/0!</v>
      </c>
      <c r="K32" s="3"/>
    </row>
    <row r="33">
      <c r="A33" s="5" t="s">
        <v>81</v>
      </c>
      <c r="B33" s="5" t="s">
        <v>27</v>
      </c>
      <c r="C33" s="5">
        <v>250.0</v>
      </c>
      <c r="D33" s="5" t="s">
        <v>15</v>
      </c>
      <c r="E33" s="5">
        <v>50.0</v>
      </c>
      <c r="F33" s="5" t="s">
        <v>82</v>
      </c>
      <c r="G33" s="23"/>
      <c r="H33" s="24">
        <f>((G33*'Hoja 2'!A33)/(60*'Hoja 2'!C33))</f>
        <v>0</v>
      </c>
      <c r="I33" s="5" t="s">
        <v>17</v>
      </c>
      <c r="J33" s="12" t="str">
        <f t="shared" si="2"/>
        <v>#DIV/0!</v>
      </c>
      <c r="K33" s="3"/>
    </row>
    <row r="34">
      <c r="A34" s="5" t="s">
        <v>83</v>
      </c>
      <c r="B34" s="5" t="s">
        <v>14</v>
      </c>
      <c r="C34" s="5">
        <v>1600.0</v>
      </c>
      <c r="D34" s="5" t="s">
        <v>15</v>
      </c>
      <c r="E34" s="5">
        <v>500.0</v>
      </c>
      <c r="F34" s="5" t="s">
        <v>84</v>
      </c>
      <c r="G34" s="23"/>
      <c r="H34" s="24">
        <f>((G34*'Hoja 2'!A34)/('Hoja 2'!C34))</f>
        <v>0</v>
      </c>
      <c r="I34" s="5" t="s">
        <v>29</v>
      </c>
      <c r="J34" s="12" t="str">
        <f t="shared" si="2"/>
        <v>#DIV/0!</v>
      </c>
      <c r="K34" s="3"/>
    </row>
    <row r="35">
      <c r="A35" s="19"/>
      <c r="B35" s="19"/>
      <c r="C35" s="19"/>
      <c r="D35" s="19"/>
      <c r="E35" s="19"/>
      <c r="F35" s="19"/>
      <c r="G35" s="3"/>
      <c r="H35" s="19"/>
      <c r="I35" s="19"/>
      <c r="J35" s="20"/>
      <c r="K35" s="3"/>
    </row>
    <row r="36">
      <c r="A36" s="19"/>
      <c r="B36" s="19"/>
      <c r="C36" s="19"/>
      <c r="D36" s="19"/>
      <c r="E36" s="19"/>
      <c r="F36" s="19"/>
      <c r="I36" s="19"/>
      <c r="J36" s="20"/>
      <c r="K36" s="3"/>
    </row>
    <row r="37">
      <c r="A37" s="19"/>
      <c r="B37" s="19"/>
      <c r="C37" s="19"/>
      <c r="D37" s="19"/>
      <c r="E37" s="19"/>
      <c r="F37" s="19"/>
      <c r="I37" s="19"/>
      <c r="J37" s="20"/>
      <c r="K37" s="3"/>
    </row>
    <row r="38">
      <c r="A38" s="21"/>
      <c r="B38" s="21"/>
      <c r="C38" s="21"/>
      <c r="D38" s="21"/>
      <c r="E38" s="21"/>
      <c r="F38" s="21"/>
      <c r="G38" s="19" t="s">
        <v>37</v>
      </c>
      <c r="I38" s="21"/>
      <c r="J38" s="3"/>
      <c r="K38" s="3"/>
    </row>
    <row r="39">
      <c r="A39" s="21"/>
      <c r="B39" s="21"/>
      <c r="C39" s="21"/>
      <c r="D39" s="21"/>
      <c r="E39" s="21"/>
      <c r="F39" s="21"/>
      <c r="G39" s="19" t="s">
        <v>90</v>
      </c>
      <c r="I39" s="21"/>
      <c r="J39" s="3"/>
      <c r="K39" s="3"/>
    </row>
    <row r="40">
      <c r="A40" s="21"/>
      <c r="B40" s="21"/>
      <c r="C40" s="21"/>
      <c r="D40" s="21"/>
      <c r="E40" s="21"/>
      <c r="F40" s="21"/>
      <c r="G40" s="3"/>
      <c r="H40" s="19"/>
      <c r="I40" s="21"/>
      <c r="J40" s="3"/>
      <c r="K40" s="3"/>
    </row>
    <row r="41">
      <c r="A41" s="22"/>
      <c r="B41" s="22"/>
      <c r="C41" s="22"/>
      <c r="D41" s="22"/>
      <c r="E41" s="22"/>
      <c r="F41" s="22"/>
      <c r="H41" s="19"/>
      <c r="I41" s="22"/>
    </row>
    <row r="42">
      <c r="A42" s="22"/>
      <c r="B42" s="22"/>
      <c r="C42" s="22"/>
      <c r="D42" s="22"/>
      <c r="E42" s="22"/>
      <c r="F42" s="22"/>
      <c r="I42" s="22"/>
    </row>
    <row r="43">
      <c r="A43" s="22"/>
      <c r="B43" s="22"/>
      <c r="C43" s="22"/>
      <c r="D43" s="22"/>
      <c r="E43" s="22"/>
      <c r="F43" s="22"/>
      <c r="H43" s="22"/>
      <c r="I43" s="22"/>
    </row>
    <row r="44">
      <c r="A44" s="22"/>
      <c r="B44" s="22"/>
      <c r="C44" s="22"/>
      <c r="D44" s="22"/>
      <c r="E44" s="22"/>
      <c r="F44" s="22"/>
      <c r="H44" s="22"/>
      <c r="I44" s="22"/>
    </row>
    <row r="45">
      <c r="A45" s="22"/>
      <c r="B45" s="22"/>
      <c r="C45" s="22"/>
      <c r="D45" s="22"/>
      <c r="E45" s="22"/>
      <c r="F45" s="22"/>
      <c r="H45" s="22"/>
      <c r="I45" s="22"/>
    </row>
    <row r="46">
      <c r="A46" s="22"/>
      <c r="B46" s="22"/>
      <c r="C46" s="22"/>
      <c r="D46" s="22"/>
      <c r="E46" s="22"/>
      <c r="F46" s="22"/>
      <c r="H46" s="22"/>
      <c r="I46" s="22"/>
    </row>
    <row r="47">
      <c r="A47" s="22"/>
      <c r="B47" s="22"/>
      <c r="C47" s="22"/>
      <c r="D47" s="22"/>
      <c r="E47" s="22"/>
      <c r="F47" s="22"/>
      <c r="H47" s="22"/>
      <c r="I47" s="22"/>
    </row>
    <row r="48">
      <c r="A48" s="22"/>
      <c r="B48" s="22"/>
      <c r="C48" s="22"/>
      <c r="D48" s="22"/>
      <c r="E48" s="22"/>
      <c r="F48" s="22"/>
      <c r="H48" s="22"/>
      <c r="I48" s="22"/>
    </row>
    <row r="49">
      <c r="A49" s="22"/>
      <c r="B49" s="22"/>
      <c r="C49" s="22"/>
      <c r="D49" s="22"/>
      <c r="E49" s="22"/>
      <c r="F49" s="22"/>
      <c r="H49" s="22"/>
      <c r="I49" s="22"/>
    </row>
    <row r="50">
      <c r="A50" s="22"/>
      <c r="B50" s="22"/>
      <c r="C50" s="22"/>
      <c r="D50" s="22"/>
      <c r="E50" s="22"/>
      <c r="F50" s="22"/>
      <c r="H50" s="22"/>
      <c r="I50" s="22"/>
    </row>
    <row r="51">
      <c r="A51" s="22"/>
      <c r="B51" s="22"/>
      <c r="C51" s="22"/>
      <c r="D51" s="22"/>
      <c r="E51" s="22"/>
      <c r="F51" s="22"/>
      <c r="H51" s="22"/>
      <c r="I51" s="22"/>
    </row>
    <row r="52">
      <c r="A52" s="22"/>
      <c r="B52" s="22"/>
      <c r="C52" s="22"/>
      <c r="D52" s="22"/>
      <c r="E52" s="22"/>
      <c r="F52" s="22"/>
      <c r="H52" s="22"/>
      <c r="I52" s="22"/>
    </row>
    <row r="53">
      <c r="A53" s="22"/>
      <c r="B53" s="22"/>
      <c r="C53" s="22"/>
      <c r="D53" s="22"/>
      <c r="E53" s="22"/>
      <c r="F53" s="22"/>
      <c r="H53" s="22"/>
      <c r="I53" s="22"/>
    </row>
    <row r="54">
      <c r="A54" s="22"/>
      <c r="B54" s="22"/>
      <c r="C54" s="22"/>
      <c r="D54" s="22"/>
      <c r="E54" s="22"/>
      <c r="F54" s="22"/>
      <c r="H54" s="22"/>
      <c r="I54" s="22"/>
    </row>
    <row r="55">
      <c r="A55" s="22"/>
      <c r="B55" s="22"/>
      <c r="C55" s="22"/>
      <c r="D55" s="22"/>
      <c r="E55" s="22"/>
      <c r="F55" s="22"/>
      <c r="H55" s="22"/>
      <c r="I55" s="22"/>
    </row>
    <row r="56">
      <c r="A56" s="22"/>
      <c r="B56" s="22"/>
      <c r="C56" s="22"/>
      <c r="D56" s="22"/>
      <c r="E56" s="22"/>
      <c r="F56" s="22"/>
      <c r="H56" s="22"/>
      <c r="I56" s="22"/>
    </row>
    <row r="57">
      <c r="A57" s="22"/>
      <c r="B57" s="22"/>
      <c r="C57" s="22"/>
      <c r="D57" s="22"/>
      <c r="E57" s="22"/>
      <c r="F57" s="22"/>
      <c r="H57" s="22"/>
      <c r="I57" s="22"/>
    </row>
    <row r="58">
      <c r="A58" s="22"/>
      <c r="B58" s="22"/>
      <c r="C58" s="22"/>
      <c r="D58" s="22"/>
      <c r="E58" s="22"/>
      <c r="F58" s="22"/>
      <c r="H58" s="22"/>
      <c r="I58" s="22"/>
    </row>
    <row r="59">
      <c r="A59" s="22"/>
      <c r="B59" s="22"/>
      <c r="C59" s="22"/>
      <c r="D59" s="22"/>
      <c r="E59" s="22"/>
      <c r="F59" s="22"/>
      <c r="H59" s="22"/>
      <c r="I59" s="22"/>
    </row>
    <row r="60">
      <c r="A60" s="22"/>
      <c r="B60" s="22"/>
      <c r="C60" s="22"/>
      <c r="D60" s="22"/>
      <c r="E60" s="22"/>
      <c r="F60" s="22"/>
      <c r="H60" s="22"/>
      <c r="I60" s="22"/>
    </row>
    <row r="61">
      <c r="A61" s="22"/>
      <c r="B61" s="22"/>
      <c r="C61" s="22"/>
      <c r="D61" s="22"/>
      <c r="E61" s="22"/>
      <c r="F61" s="22"/>
      <c r="H61" s="22"/>
      <c r="I61" s="22"/>
    </row>
    <row r="62">
      <c r="A62" s="22"/>
      <c r="B62" s="22"/>
      <c r="C62" s="22"/>
      <c r="D62" s="22"/>
      <c r="E62" s="22"/>
      <c r="F62" s="22"/>
      <c r="H62" s="22"/>
      <c r="I62" s="22"/>
    </row>
    <row r="63">
      <c r="A63" s="22"/>
      <c r="B63" s="22"/>
      <c r="C63" s="22"/>
      <c r="D63" s="22"/>
      <c r="E63" s="22"/>
      <c r="F63" s="22"/>
      <c r="H63" s="22"/>
      <c r="I63" s="22"/>
    </row>
    <row r="64">
      <c r="A64" s="22"/>
      <c r="B64" s="22"/>
      <c r="C64" s="22"/>
      <c r="D64" s="22"/>
      <c r="E64" s="22"/>
      <c r="F64" s="22"/>
      <c r="H64" s="22"/>
      <c r="I64" s="22"/>
    </row>
    <row r="65">
      <c r="A65" s="22"/>
      <c r="B65" s="22"/>
      <c r="C65" s="22"/>
      <c r="D65" s="22"/>
      <c r="E65" s="22"/>
      <c r="F65" s="22"/>
      <c r="H65" s="22"/>
      <c r="I65" s="22"/>
    </row>
    <row r="66">
      <c r="A66" s="22"/>
      <c r="B66" s="22"/>
      <c r="C66" s="22"/>
      <c r="D66" s="22"/>
      <c r="E66" s="22"/>
      <c r="F66" s="22"/>
      <c r="H66" s="22"/>
      <c r="I66" s="22"/>
    </row>
    <row r="67">
      <c r="A67" s="22"/>
      <c r="B67" s="22"/>
      <c r="C67" s="22"/>
      <c r="D67" s="22"/>
      <c r="E67" s="22"/>
      <c r="F67" s="22"/>
      <c r="H67" s="22"/>
      <c r="I67" s="22"/>
    </row>
    <row r="68">
      <c r="A68" s="22"/>
      <c r="B68" s="22"/>
      <c r="C68" s="22"/>
      <c r="D68" s="22"/>
      <c r="E68" s="22"/>
      <c r="F68" s="22"/>
      <c r="H68" s="22"/>
      <c r="I68" s="22"/>
    </row>
    <row r="69">
      <c r="A69" s="22"/>
      <c r="B69" s="22"/>
      <c r="C69" s="22"/>
      <c r="D69" s="22"/>
      <c r="E69" s="22"/>
      <c r="F69" s="22"/>
      <c r="H69" s="22"/>
      <c r="I69" s="22"/>
    </row>
    <row r="70">
      <c r="A70" s="22"/>
      <c r="B70" s="22"/>
      <c r="C70" s="22"/>
      <c r="D70" s="22"/>
      <c r="E70" s="22"/>
      <c r="F70" s="22"/>
      <c r="H70" s="22"/>
      <c r="I70" s="22"/>
    </row>
    <row r="71">
      <c r="A71" s="22"/>
      <c r="B71" s="22"/>
      <c r="C71" s="22"/>
      <c r="D71" s="22"/>
      <c r="E71" s="22"/>
      <c r="F71" s="22"/>
      <c r="H71" s="22"/>
      <c r="I71" s="22"/>
    </row>
    <row r="72">
      <c r="A72" s="22"/>
      <c r="B72" s="22"/>
      <c r="C72" s="22"/>
      <c r="D72" s="22"/>
      <c r="E72" s="22"/>
      <c r="F72" s="22"/>
      <c r="H72" s="22"/>
      <c r="I72" s="22"/>
    </row>
    <row r="73">
      <c r="A73" s="22"/>
      <c r="B73" s="22"/>
      <c r="C73" s="22"/>
      <c r="D73" s="22"/>
      <c r="E73" s="22"/>
      <c r="F73" s="22"/>
      <c r="H73" s="22"/>
      <c r="I73" s="22"/>
    </row>
    <row r="74">
      <c r="A74" s="22"/>
      <c r="B74" s="22"/>
      <c r="C74" s="22"/>
      <c r="D74" s="22"/>
      <c r="E74" s="22"/>
      <c r="F74" s="22"/>
      <c r="H74" s="22"/>
      <c r="I74" s="22"/>
    </row>
    <row r="75">
      <c r="A75" s="22"/>
      <c r="B75" s="22"/>
      <c r="C75" s="22"/>
      <c r="D75" s="22"/>
      <c r="E75" s="22"/>
      <c r="F75" s="22"/>
      <c r="H75" s="22"/>
      <c r="I75" s="22"/>
    </row>
  </sheetData>
  <mergeCells count="5">
    <mergeCell ref="C1:E1"/>
    <mergeCell ref="L14:L17"/>
    <mergeCell ref="L18:L21"/>
    <mergeCell ref="G35:G37"/>
    <mergeCell ref="H35:H3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91</v>
      </c>
      <c r="C1" s="9" t="s">
        <v>92</v>
      </c>
    </row>
    <row r="2">
      <c r="A2" s="22"/>
      <c r="B2" s="4" t="s">
        <v>93</v>
      </c>
    </row>
    <row r="3">
      <c r="A3" s="22">
        <f>('MCG --&gt; ML'!C3*1000)/'MCG --&gt; ML'!E3</f>
        <v>40</v>
      </c>
      <c r="B3" s="4" t="s">
        <v>94</v>
      </c>
      <c r="C3" s="4">
        <f>'MCG --&gt; ML'!L18</f>
        <v>90</v>
      </c>
    </row>
    <row r="4">
      <c r="A4" s="22">
        <f>('MCG --&gt; ML'!C4*1000)/'MCG --&gt; ML'!E4</f>
        <v>200</v>
      </c>
      <c r="B4" s="4" t="s">
        <v>94</v>
      </c>
      <c r="C4" s="4">
        <f>'MCG --&gt; ML'!L18</f>
        <v>90</v>
      </c>
    </row>
    <row r="5">
      <c r="A5" s="22">
        <f>('MCG --&gt; ML'!C5*1000)/'MCG --&gt; ML'!E5</f>
        <v>80</v>
      </c>
      <c r="B5" s="4" t="s">
        <v>94</v>
      </c>
      <c r="C5" s="4">
        <f>C4</f>
        <v>90</v>
      </c>
    </row>
    <row r="6">
      <c r="A6" s="22">
        <f>('MCG --&gt; ML'!C6*1000)/'MCG --&gt; ML'!E6</f>
        <v>4</v>
      </c>
      <c r="B6" s="4" t="s">
        <v>94</v>
      </c>
      <c r="C6" s="4" t="s">
        <v>95</v>
      </c>
    </row>
    <row r="7">
      <c r="A7" s="22">
        <f>('MCG --&gt; ML'!C7*1000)/'MCG --&gt; ML'!E7</f>
        <v>3600</v>
      </c>
      <c r="B7" s="4" t="s">
        <v>94</v>
      </c>
      <c r="C7" s="4">
        <f>'MCG --&gt; ML'!L18</f>
        <v>90</v>
      </c>
    </row>
    <row r="8">
      <c r="A8" s="22">
        <f>('MCG --&gt; ML'!C8)/'MCG --&gt; ML'!E8</f>
        <v>0.8</v>
      </c>
      <c r="B8" s="4" t="s">
        <v>96</v>
      </c>
      <c r="C8" s="4">
        <f>'MCG --&gt; ML'!L18</f>
        <v>90</v>
      </c>
    </row>
    <row r="9">
      <c r="A9" s="22">
        <f>('MCG --&gt; ML'!C9)/'MCG --&gt; ML'!E9</f>
        <v>3</v>
      </c>
      <c r="B9" s="4" t="s">
        <v>96</v>
      </c>
      <c r="C9" s="4">
        <f>'MCG --&gt; ML'!L18</f>
        <v>90</v>
      </c>
    </row>
    <row r="10">
      <c r="A10" s="22">
        <f>('MCG --&gt; ML'!C10*1000)/'MCG --&gt; ML'!E10</f>
        <v>6</v>
      </c>
      <c r="B10" s="4" t="s">
        <v>94</v>
      </c>
      <c r="C10" s="4">
        <f>'MCG --&gt; ML'!L18</f>
        <v>90</v>
      </c>
    </row>
    <row r="11">
      <c r="A11" s="22">
        <f>('MCG --&gt; ML'!C11*1000)/'MCG --&gt; ML'!E11</f>
        <v>4</v>
      </c>
      <c r="B11" s="4" t="s">
        <v>94</v>
      </c>
      <c r="C11" s="4">
        <f>'MCG --&gt; ML'!L18</f>
        <v>90</v>
      </c>
    </row>
    <row r="12">
      <c r="A12" s="22">
        <f>('MCG --&gt; ML'!C12*1000)/'MCG --&gt; ML'!E12</f>
        <v>4</v>
      </c>
      <c r="B12" s="4" t="s">
        <v>94</v>
      </c>
      <c r="C12" s="4">
        <f>'MCG --&gt; ML'!L18</f>
        <v>90</v>
      </c>
    </row>
    <row r="13">
      <c r="A13" s="22">
        <f>('MCG --&gt; ML'!C13*1000)/'MCG --&gt; ML'!E13</f>
        <v>1600</v>
      </c>
      <c r="B13" s="4" t="s">
        <v>94</v>
      </c>
      <c r="C13" s="4">
        <f>'MCG --&gt; ML'!L18</f>
        <v>90</v>
      </c>
    </row>
    <row r="14">
      <c r="A14" s="22">
        <f>('MCG --&gt; ML'!C14*1000)/'MCG --&gt; ML'!E14</f>
        <v>1000</v>
      </c>
      <c r="B14" s="4" t="s">
        <v>94</v>
      </c>
      <c r="C14" s="4">
        <f>'MCG --&gt; ML'!L18</f>
        <v>90</v>
      </c>
    </row>
    <row r="15">
      <c r="A15" s="22">
        <f>('MCG --&gt; ML'!C15*1000)/'MCG --&gt; ML'!E15</f>
        <v>30</v>
      </c>
      <c r="B15" s="4" t="s">
        <v>94</v>
      </c>
      <c r="C15" s="4">
        <f>'MCG --&gt; ML'!L18</f>
        <v>90</v>
      </c>
    </row>
    <row r="16">
      <c r="A16" s="22">
        <f>('MCG --&gt; ML'!C16)/'MCG --&gt; ML'!E16</f>
        <v>0.01</v>
      </c>
      <c r="B16" s="4" t="s">
        <v>96</v>
      </c>
      <c r="C16" s="4" t="s">
        <v>95</v>
      </c>
    </row>
    <row r="17">
      <c r="A17" s="22">
        <f>('MCG --&gt; ML'!C17*1)/'MCG --&gt; ML'!E17</f>
        <v>1</v>
      </c>
      <c r="B17" s="4" t="s">
        <v>96</v>
      </c>
      <c r="C17" s="4" t="s">
        <v>95</v>
      </c>
    </row>
    <row r="18">
      <c r="A18" s="22">
        <f>('MCG --&gt; ML'!C18*1)/'MCG --&gt; ML'!E18</f>
        <v>0.8</v>
      </c>
      <c r="B18" s="4" t="s">
        <v>96</v>
      </c>
      <c r="C18" s="4" t="s">
        <v>95</v>
      </c>
    </row>
    <row r="19">
      <c r="A19" s="22">
        <f>('MCG --&gt; ML'!C19*1000)/'MCG --&gt; ML'!E19</f>
        <v>50</v>
      </c>
      <c r="B19" s="4" t="s">
        <v>94</v>
      </c>
      <c r="C19" s="4">
        <f>'MCG --&gt; ML'!L18</f>
        <v>90</v>
      </c>
    </row>
    <row r="20">
      <c r="A20" s="22">
        <f>('MCG --&gt; ML'!C20)/'MCG --&gt; ML'!E20</f>
        <v>18</v>
      </c>
      <c r="B20" s="4" t="s">
        <v>96</v>
      </c>
      <c r="C20" s="4" t="s">
        <v>97</v>
      </c>
    </row>
    <row r="21">
      <c r="A21" s="22">
        <f>('MCG --&gt; ML'!C21*1)/'MCG --&gt; ML'!E21</f>
        <v>5</v>
      </c>
      <c r="B21" s="4" t="s">
        <v>96</v>
      </c>
      <c r="C21" s="4">
        <f>'MCG --&gt; ML'!L18</f>
        <v>90</v>
      </c>
    </row>
    <row r="22">
      <c r="A22" s="22">
        <f>('MCG --&gt; ML'!C22*1000)/'MCG --&gt; ML'!E22</f>
        <v>120</v>
      </c>
      <c r="B22" s="4" t="s">
        <v>94</v>
      </c>
      <c r="C22" s="4">
        <f>'MCG --&gt; ML'!L18</f>
        <v>90</v>
      </c>
    </row>
    <row r="23">
      <c r="A23" s="22">
        <f>('MCG --&gt; ML'!C23*1)/'MCG --&gt; ML'!E23</f>
        <v>1</v>
      </c>
      <c r="B23" s="4" t="s">
        <v>96</v>
      </c>
      <c r="C23" s="4" t="s">
        <v>95</v>
      </c>
    </row>
    <row r="24">
      <c r="A24" s="22">
        <f>('MCG --&gt; ML'!C24*1000)/'MCG --&gt; ML'!E24</f>
        <v>16</v>
      </c>
      <c r="B24" s="4" t="s">
        <v>94</v>
      </c>
      <c r="C24" s="4">
        <f>'MCG --&gt; ML'!L18</f>
        <v>90</v>
      </c>
    </row>
    <row r="25">
      <c r="A25" s="22">
        <f>('MCG --&gt; ML'!C25*1000)/'MCG --&gt; ML'!E25</f>
        <v>200</v>
      </c>
      <c r="B25" s="4" t="s">
        <v>94</v>
      </c>
      <c r="C25" s="4">
        <f>'MCG --&gt; ML'!L18</f>
        <v>90</v>
      </c>
    </row>
    <row r="26">
      <c r="A26" s="22">
        <f>('MCG --&gt; ML'!C26*1000)/'MCG --&gt; ML'!E26</f>
        <v>100</v>
      </c>
      <c r="B26" s="4" t="s">
        <v>94</v>
      </c>
      <c r="C26" s="4" t="s">
        <v>95</v>
      </c>
    </row>
    <row r="27">
      <c r="A27" s="22">
        <f>('MCG --&gt; ML'!C27*1000)/'MCG --&gt; ML'!E27</f>
        <v>40</v>
      </c>
      <c r="B27" s="4" t="s">
        <v>94</v>
      </c>
      <c r="C27" s="4">
        <f>'MCG --&gt; ML'!L18</f>
        <v>90</v>
      </c>
    </row>
    <row r="28">
      <c r="A28" s="22">
        <f>('MCG --&gt; ML'!C28*1000)/'MCG --&gt; ML'!E28</f>
        <v>800</v>
      </c>
      <c r="B28" s="4" t="s">
        <v>94</v>
      </c>
      <c r="C28" s="4">
        <f>'MCG --&gt; ML'!L18</f>
        <v>90</v>
      </c>
    </row>
    <row r="29">
      <c r="A29" s="22">
        <f>('MCG --&gt; ML'!C29*1000)/'MCG --&gt; ML'!E29</f>
        <v>160</v>
      </c>
      <c r="B29" s="4" t="s">
        <v>94</v>
      </c>
      <c r="C29" s="4">
        <f>'MCG --&gt; ML'!L18</f>
        <v>90</v>
      </c>
    </row>
    <row r="30">
      <c r="A30" s="22">
        <f>('MCG --&gt; ML'!C30*1)/'MCG --&gt; ML'!E30</f>
        <v>10</v>
      </c>
      <c r="B30" s="4" t="s">
        <v>96</v>
      </c>
      <c r="C30" s="4">
        <f>'MCG --&gt; ML'!L18</f>
        <v>90</v>
      </c>
    </row>
    <row r="31">
      <c r="A31" s="22">
        <f>('MCG --&gt; ML'!C31*1)/'MCG --&gt; ML'!E31</f>
        <v>10</v>
      </c>
      <c r="B31" s="4" t="s">
        <v>96</v>
      </c>
      <c r="C31" s="4">
        <f>'MCG --&gt; ML'!L18</f>
        <v>90</v>
      </c>
    </row>
    <row r="32">
      <c r="A32" s="22">
        <f>('MCG --&gt; ML'!C32*1000)/'MCG --&gt; ML'!E32</f>
        <v>12</v>
      </c>
      <c r="B32" s="4" t="s">
        <v>94</v>
      </c>
      <c r="C32" s="4">
        <f>'MCG --&gt; ML'!L18</f>
        <v>90</v>
      </c>
    </row>
    <row r="33">
      <c r="A33" s="22">
        <f>('MCG --&gt; ML'!C33*1000)/'MCG --&gt; ML'!E33</f>
        <v>5000</v>
      </c>
      <c r="B33" s="4" t="s">
        <v>94</v>
      </c>
      <c r="C33" s="4">
        <f>'MCG --&gt; ML'!L18</f>
        <v>90</v>
      </c>
    </row>
    <row r="34">
      <c r="A34" s="22">
        <f>('MCG --&gt; ML'!C34*1)/'MCG --&gt; ML'!E34</f>
        <v>3.2</v>
      </c>
      <c r="B34" s="4" t="s">
        <v>96</v>
      </c>
      <c r="C34" s="4">
        <f>'MCG --&gt; ML'!L18</f>
        <v>90</v>
      </c>
    </row>
  </sheetData>
  <mergeCells count="1">
    <mergeCell ref="A1:B1"/>
  </mergeCells>
  <drawing r:id="rId1"/>
</worksheet>
</file>